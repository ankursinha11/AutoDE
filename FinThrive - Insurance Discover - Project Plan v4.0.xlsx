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C:\Users\karth\Downloads\"/>
    </mc:Choice>
  </mc:AlternateContent>
  <xr:revisionPtr revIDLastSave="0" documentId="8_{F5B426CB-B107-4AAE-B6D8-0560AA625B48}" xr6:coauthVersionLast="47" xr6:coauthVersionMax="47" xr10:uidLastSave="{00000000-0000-0000-0000-000000000000}"/>
  <bookViews>
    <workbookView xWindow="-98" yWindow="-98" windowWidth="24196" windowHeight="14476" firstSheet="1" activeTab="1" xr2:uid="{AFDB041D-2B69-4EAF-9625-9C8A0C0F56E6}"/>
  </bookViews>
  <sheets>
    <sheet name="ABI vs DB Tracker" sheetId="12" r:id="rId1"/>
    <sheet name="HDP Vs DB Tracker" sheetId="11" r:id="rId2"/>
    <sheet name="Consolidated" sheetId="13" r:id="rId3"/>
  </sheets>
  <definedNames>
    <definedName name="_xlnm._FilterDatabase" localSheetId="1" hidden="1">'HDP Vs DB Tracker'!$A$1:$K$56</definedName>
    <definedName name="_xlnm._FilterDatabase" localSheetId="0" hidden="1">'ABI vs DB Tracker'!$A$1:$K$40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0" i="13" l="1"/>
  <c r="G90" i="13"/>
  <c r="J49" i="13"/>
  <c r="J50" i="13"/>
  <c r="J53" i="13"/>
  <c r="J48" i="13"/>
  <c r="I90" i="13"/>
  <c r="J90" i="13"/>
  <c r="E89" i="13"/>
  <c r="G89" i="13"/>
  <c r="J85" i="13"/>
  <c r="G85" i="13"/>
  <c r="E85" i="13"/>
  <c r="I85" i="13"/>
  <c r="F85" i="13"/>
  <c r="F21" i="13"/>
  <c r="G21" i="13"/>
  <c r="H21" i="13"/>
  <c r="I21" i="13"/>
  <c r="J21" i="13"/>
  <c r="E30" i="13"/>
  <c r="F30" i="13"/>
  <c r="G30" i="13"/>
  <c r="H30" i="13"/>
  <c r="I30" i="13"/>
  <c r="J30" i="13"/>
  <c r="E21" i="13"/>
  <c r="D77" i="13" s="1"/>
  <c r="F55" i="13"/>
  <c r="G55" i="13"/>
  <c r="H55" i="13"/>
  <c r="I55" i="13"/>
  <c r="E66" i="13"/>
  <c r="F66" i="13"/>
  <c r="G66" i="13"/>
  <c r="H66" i="13"/>
  <c r="I66" i="13"/>
  <c r="J66" i="13"/>
  <c r="E55" i="13"/>
  <c r="D78" i="13" s="1"/>
  <c r="E79" i="13"/>
  <c r="D79" i="13"/>
  <c r="I44" i="13"/>
  <c r="H44" i="13"/>
  <c r="G72" i="13" s="1"/>
  <c r="G44" i="13"/>
  <c r="F44" i="13"/>
  <c r="E72" i="13" s="1"/>
  <c r="E90" i="13" s="1"/>
  <c r="E91" i="13" s="1"/>
  <c r="E44" i="13"/>
  <c r="D72" i="13" s="1"/>
  <c r="D90" i="13" s="1"/>
  <c r="I12" i="13"/>
  <c r="J89" i="13" s="1"/>
  <c r="H12" i="13"/>
  <c r="G12" i="13"/>
  <c r="F73" i="13" s="1"/>
  <c r="F12" i="13"/>
  <c r="E12" i="13"/>
  <c r="D71" i="13" s="1"/>
  <c r="D89" i="13" s="1"/>
  <c r="D91" i="13" s="1"/>
  <c r="J8" i="13"/>
  <c r="J7" i="13"/>
  <c r="J38" i="13"/>
  <c r="J39" i="13"/>
  <c r="J40" i="13"/>
  <c r="J41" i="13"/>
  <c r="J37" i="13"/>
  <c r="J44" i="13" l="1"/>
  <c r="K89" i="13"/>
  <c r="J91" i="13"/>
  <c r="K91" i="13" s="1"/>
  <c r="F79" i="13"/>
  <c r="F89" i="13"/>
  <c r="F91" i="13" s="1"/>
  <c r="I79" i="13"/>
  <c r="I89" i="13"/>
  <c r="I91" i="13" s="1"/>
  <c r="H89" i="13"/>
  <c r="K90" i="13"/>
  <c r="H90" i="13"/>
  <c r="G91" i="13"/>
  <c r="H91" i="13" s="1"/>
  <c r="D85" i="13"/>
  <c r="K83" i="13"/>
  <c r="H83" i="13"/>
  <c r="K84" i="13"/>
  <c r="H84" i="13"/>
  <c r="H85" i="13"/>
  <c r="K85" i="13"/>
  <c r="G79" i="13"/>
  <c r="H79" i="13" s="1"/>
  <c r="H77" i="13"/>
  <c r="J79" i="13"/>
  <c r="K79" i="13" s="1"/>
  <c r="K77" i="13"/>
  <c r="H78" i="13"/>
  <c r="K78" i="13"/>
  <c r="G73" i="13"/>
  <c r="H71" i="13"/>
  <c r="K71" i="13"/>
  <c r="D73" i="13"/>
  <c r="H72" i="13"/>
  <c r="J73" i="13"/>
  <c r="K73" i="13" s="1"/>
  <c r="K72" i="13"/>
  <c r="E73" i="13"/>
  <c r="I73" i="13" l="1"/>
  <c r="H73" i="13"/>
</calcChain>
</file>

<file path=xl/sharedStrings.xml><?xml version="1.0" encoding="utf-8"?>
<sst xmlns="http://schemas.openxmlformats.org/spreadsheetml/2006/main" count="799" uniqueCount="277">
  <si>
    <t>Sr No</t>
  </si>
  <si>
    <t>Module</t>
  </si>
  <si>
    <t>Abinitio</t>
  </si>
  <si>
    <t>Databricks Pipeline Name</t>
  </si>
  <si>
    <t>Resource Name</t>
  </si>
  <si>
    <t>Priority</t>
  </si>
  <si>
    <t>Completion 
Date</t>
  </si>
  <si>
    <t>Percentage
Compled</t>
  </si>
  <si>
    <t>Status</t>
  </si>
  <si>
    <t>Difference
(Yes/No)</t>
  </si>
  <si>
    <t>Comments</t>
  </si>
  <si>
    <t>CDD</t>
  </si>
  <si>
    <t>1000_CDD_PrePrep.pset</t>
  </si>
  <si>
    <t>Pl_cdd_es_postbdf,
pl_cdd_ie_postbdf,
pl_leadrepo_escan_import_fc</t>
  </si>
  <si>
    <t>Gopal</t>
  </si>
  <si>
    <t>P1</t>
  </si>
  <si>
    <t>Completed</t>
  </si>
  <si>
    <t>NO</t>
  </si>
  <si>
    <t xml:space="preserve">This is a pre-prep step for data preparation in CDD
No actual business logic implemeted
</t>
  </si>
  <si>
    <t>1100_CDD_Charlotte271Data.pset</t>
  </si>
  <si>
    <t>Pl_cdd_es_postbdf, 
pl_cdd_ie_postbdf, 
pl_leadrepo_escan_ich_import, 
pl_ich_xref, 
pl_leadservicebase</t>
  </si>
  <si>
    <t>Ankur &amp; Gopal</t>
  </si>
  <si>
    <t>In Review</t>
  </si>
  <si>
    <t>No</t>
  </si>
  <si>
    <t>Rework is needed as multiple pipelines are needed</t>
  </si>
  <si>
    <t>1200_CDD_Charlotte271FamilyData.pset</t>
  </si>
  <si>
    <t>Pl_leadrepository_xref_famc,
 pl_leadservicebase_famc</t>
  </si>
  <si>
    <t>Gopal &amp; Mohit Kumar</t>
  </si>
  <si>
    <t>In Review with Abdul</t>
  </si>
  <si>
    <t>1300_CDD_PatientAcctsXRefPermID.pset</t>
  </si>
  <si>
    <t>pl_cdd_bdf_download</t>
  </si>
  <si>
    <t>Gopal &amp; Mohit Naik</t>
  </si>
  <si>
    <t>YES</t>
  </si>
  <si>
    <t xml:space="preserve">Below are the comments added by Finthrive-
Large </t>
  </si>
  <si>
    <t>1400_CDD_Charlotte271GMRNData.pset</t>
  </si>
  <si>
    <t>Pl_cdd_es_postbdf, 
pl_cdd_ie_postbdf, 
pl_leadrepo_escan_ich_import, 
pl_ich_xref,
pl_leadservicebase</t>
  </si>
  <si>
    <t>1500_CDD_TUSourcedFamilyMemberLink.pset</t>
  </si>
  <si>
    <t>pl_TUSourcedFamilyMemberLink</t>
  </si>
  <si>
    <t>1600_CDD_HFC_FamilyFoundCoverage.pset</t>
  </si>
  <si>
    <t>Pl_leadrepository_xref_famc, 
pl_leadservicebase_famc</t>
  </si>
  <si>
    <t>1700_CDD_HFC_RelatedMemberOPSourcedFC.pset</t>
  </si>
  <si>
    <t>pl_leadrepo_escan_import_fc, 
pl_fc_xref, pl_leadservicebase</t>
  </si>
  <si>
    <t>P2</t>
  </si>
  <si>
    <t>2500_CDD_PropagateHFCForFamilyMembers.pset</t>
  </si>
  <si>
    <t>1800_CDD_HFC_Charlotte271Data.pset</t>
  </si>
  <si>
    <t>2000_CDD_LoadStagingAndCallSP.PatientAcctsXRefPermID.pset</t>
  </si>
  <si>
    <t>Load to HelperFoundCoverage similar to loading LSB in pl_leadservicebase</t>
  </si>
  <si>
    <t>P3</t>
  </si>
  <si>
    <t>In Progress</t>
  </si>
  <si>
    <t xml:space="preserve">Queued for DBX comparison </t>
  </si>
  <si>
    <t>2000_CDD_LoadStagingAndCallSP.TUSourcedFamilyMemberLink.pset</t>
  </si>
  <si>
    <t>2000_CDD_LoadStagingAndCallSP.PatientAcctsXRefPermIDUpdate.pset</t>
  </si>
  <si>
    <t>2200_CDD_LoadHelperFoundCoveragesAndCallSP.pset</t>
  </si>
  <si>
    <t>2800_CDD_LoadHelperFoundCoveragesAndCallSP_Propagation.pset</t>
  </si>
  <si>
    <t>Commerical Generation</t>
  </si>
  <si>
    <t>100_commGenPrePrep.pset</t>
  </si>
  <si>
    <t>pl_leaddiscovery_globalmrn_assign,
pl_leaddiscovery_lead_propagation,
pl_leaddiscovery_leadverify,
pl_leaddiscovery_known_commercial,
pl_leaddiscovery_leadlookup_knowncommercial</t>
  </si>
  <si>
    <t>Anjani &amp; Mohit Kumar</t>
  </si>
  <si>
    <t>105_commGenPrePrep.pset</t>
  </si>
  <si>
    <t>102_commGenPrePrep.pset</t>
  </si>
  <si>
    <t>Comparison is Pending</t>
  </si>
  <si>
    <t>400_commGenIpa.pset</t>
  </si>
  <si>
    <t>Anjani &amp; Mohit Naik</t>
  </si>
  <si>
    <t>405_commGenPatcho.pset</t>
  </si>
  <si>
    <t>410_commGenPrePA.pset</t>
  </si>
  <si>
    <t>415_commGenResultGmrn.pset</t>
  </si>
  <si>
    <t>420_commGenFinal.pset</t>
  </si>
  <si>
    <t>430_commGenFinalCluster.pset</t>
  </si>
  <si>
    <t>435_commGenClusteringReport.pset</t>
  </si>
  <si>
    <t>500_comGenLoadFinalFile.pset</t>
  </si>
  <si>
    <t>Medicare Lead Generation</t>
  </si>
  <si>
    <t>505_GenLoadFinalFile.mCare.pset</t>
  </si>
  <si>
    <t>pl_mbihelper
pl_leaddiscovery_medicareleads
pl_mh_import
pl_leadservicebase_mh</t>
  </si>
  <si>
    <t>24/Dec - Comparison not required with Databricks</t>
  </si>
  <si>
    <t>120_mcarePrePrep.pset</t>
  </si>
  <si>
    <t>-mbihelper is completed
-leaddiscovery_medicareleads completed</t>
  </si>
  <si>
    <t>440_mCareGenIpa.pset</t>
  </si>
  <si>
    <t>Abdul has reviewed the comparison</t>
  </si>
  <si>
    <t>445_mCareGenDsh.pset</t>
  </si>
  <si>
    <t>Out of Scope</t>
  </si>
  <si>
    <t>450_mCareGenHets.pset</t>
  </si>
  <si>
    <t>455_mCareGenHetsOnly.pset</t>
  </si>
  <si>
    <t>460_mCareGenFinal.pset</t>
  </si>
  <si>
    <t>Data Ingestion</t>
  </si>
  <si>
    <t>200_extractDataFromSqlToAbi.pset</t>
  </si>
  <si>
    <t>pl_dataingestion_fnf,
pl_dataingestion_big_tables,
pl_dataingestion_abi_group1,
pl_dataingestion_abi_group2</t>
  </si>
  <si>
    <t>300_extractDataFromSqlToAbi_FasterETL.pset</t>
  </si>
  <si>
    <t>GHIC</t>
  </si>
  <si>
    <t>439_LoadvSnapGlobalMRNxHospInsuranceCodes.pset</t>
  </si>
  <si>
    <t>No Comparison required.</t>
  </si>
  <si>
    <t>600_consolidateArchiveCleanUp.pset</t>
  </si>
  <si>
    <t>Not required,No business/tranformation rules. Disk Housekeeping job to Archive older data file on disk</t>
  </si>
  <si>
    <t>210_compareDataInAbiToSql.pset</t>
  </si>
  <si>
    <t>265_fileTransferToHadoopServer.pset</t>
  </si>
  <si>
    <t>Not required , No business/tranformation rules. File transfer job to Hadoop server</t>
  </si>
  <si>
    <t>Hadoop Pipeline_Name</t>
  </si>
  <si>
    <t>Priortiy</t>
  </si>
  <si>
    <t>Completion Date</t>
  </si>
  <si>
    <t>Hadoop Workflow Summary</t>
  </si>
  <si>
    <t>cdd: bcs_permid_swift</t>
  </si>
  <si>
    <t>pl_cdd_es_prebdf</t>
  </si>
  <si>
    <t>Ankur &amp; Mohit Naik</t>
  </si>
  <si>
    <t>No differences found</t>
  </si>
  <si>
    <t>Packages and sends PermID-related output via SWIFT for downstream/partner consumption.</t>
  </si>
  <si>
    <t>cdd: bdf_download</t>
  </si>
  <si>
    <t>pl_cdd_bdf_download,
pl_cdd_bdf_download_checkfile,
pl_chc_bdf_download</t>
  </si>
  <si>
    <t>Yes</t>
  </si>
  <si>
    <t>Three differences were identified. FinThrive confirmed these as enhancements with no data impact, implemented to prevent duplicate file processing.</t>
  </si>
  <si>
    <t>Downloads TransUnion BDF files used as input for coverage discovery post-processing.</t>
  </si>
  <si>
    <t>cdd: es-swift-postbdf</t>
  </si>
  <si>
    <t>pl_cdd_es_postbdf</t>
  </si>
  <si>
    <t>Runs ES (eScan) post-BDF coverage discovery processing and publishes the processed results.</t>
  </si>
  <si>
    <t>IE-PREBDF</t>
  </si>
  <si>
    <t>pl_cdd_ie_prebdf</t>
  </si>
  <si>
    <t>One difference was found where Finthrive commented that it was a new change to limit the influx of less valuable leads from ICH</t>
  </si>
  <si>
    <t>Runs IE (ICH) pre-BDF preparation to stage raw ICH messages for downstream CDD processing.</t>
  </si>
  <si>
    <t>cdd: ie-postbdf</t>
  </si>
  <si>
    <t>pl_cdd_ie_postbdf</t>
  </si>
  <si>
    <t>Two differences were identified. Finthrive commented as inactive in databricks as it is not necessary</t>
  </si>
  <si>
    <t>Runs IE (ICH) post-BDF coverage discovery processing and writes coverage discovery outputs.</t>
  </si>
  <si>
    <t>TU-PREBDF</t>
  </si>
  <si>
    <t>pl_tu_prebdf</t>
  </si>
  <si>
    <t>Mohit Naik &amp; Ankur</t>
  </si>
  <si>
    <t>As of now hold from Databricks perspective</t>
  </si>
  <si>
    <t>Prepares/stages TransUnion-related inputs needed before BDF-driven processing steps run.</t>
  </si>
  <si>
    <t>cdd: family_clustering</t>
  </si>
  <si>
    <t>pl_leadrepository_xref_famc</t>
  </si>
  <si>
    <t>Groups related records into “family” clusters to support downstream matching/lead logic.</t>
  </si>
  <si>
    <t>escan_coverage_helper : &gt; build repo</t>
  </si>
  <si>
    <t>pl_mbihelper</t>
  </si>
  <si>
    <t>Builds/refreshes the coverage helper repository/artifacts used by ingestion/processing jobs.</t>
  </si>
  <si>
    <t>escan_coverage_helpers : medicare_helper_selectaccts</t>
  </si>
  <si>
    <t>Selects the Medicare-relevant account subset used for Medicare coverage helper processing.</t>
  </si>
  <si>
    <t>escan_data_ingestion : sqoop_fnf</t>
  </si>
  <si>
    <t>pl_dataingestion_fnf</t>
  </si>
  <si>
    <t>Sqoop-ingests “fnf” source tables from SQL Server into the raw (bronze) landing area.</t>
  </si>
  <si>
    <t>escan_data_ingestion : lsb_conf_tables_fnf</t>
  </si>
  <si>
    <t>Ingests/configures LSB configuration tables (fnf set) required for Lead Service Base processing.</t>
  </si>
  <si>
    <t>escan_data_ingestion : big_tables</t>
  </si>
  <si>
    <t>pl_dataingestion_big_tables</t>
  </si>
  <si>
    <t>Ingests large/high-volume tables with a configuration optimized for “big table” loads.</t>
  </si>
  <si>
    <t>escan_data_ingestion : sqoop_table</t>
  </si>
  <si>
    <t>Sqoop-ingests a specified single table from SQL Server into Hadoop.</t>
  </si>
  <si>
    <t>escan_data_ingestion : ingest_all</t>
  </si>
  <si>
    <t>pl_dataingestion_abi_group1,
pl_dataingestion_abi_group2</t>
  </si>
  <si>
    <t>Runs the standard “ingest everything” load to refresh raw eScan datasets in Hadoop.</t>
  </si>
  <si>
    <t>escan_data_ingestion:SA-WF:foundcoverage</t>
  </si>
  <si>
    <t>Ingests/stages “found coverage” inputs used by lead repository and downstream lead generation.</t>
  </si>
  <si>
    <t>escan_data_ingestion:SA-WF:patientaccts</t>
  </si>
  <si>
    <t>Ingests/stages patientaccts (patient account data) into the raw landing zone.</t>
  </si>
  <si>
    <t>escan_data_ingestion : sdob_ingestion</t>
  </si>
  <si>
    <t>Ingests/stages SDOB-related datasets used for DOB enrichment/matching workflows.</t>
  </si>
  <si>
    <t>escan_data_ingestion : swift_ingest_all</t>
  </si>
  <si>
    <t>Executes a full ingestion run where inputs/outputs are exchanged via SWIFT-based file movement.</t>
  </si>
  <si>
    <t>escan_data_ingestion : &gt;ingest_table -</t>
  </si>
  <si>
    <t>Ad-hoc ingestion of a specific table into Hadoop (single-table ingest entry point).</t>
  </si>
  <si>
    <t>escan_data_ingestion : &gt;ingest_table_DLAKE -</t>
  </si>
  <si>
    <t>Ingests a specified table directly into Delta Lake–managed storage for downstream serving/updates.</t>
  </si>
  <si>
    <t>escan_data_ingestion : chc</t>
  </si>
  <si>
    <t>pl_chc_import</t>
  </si>
  <si>
    <t>Ingests CHC carrier files (download/parse) and lands the results for downstream processing.</t>
  </si>
  <si>
    <t>escan_data_ingestion : CHC_ID</t>
  </si>
  <si>
    <t>Ingests/derives CHC identifier mappings used to link CHC records to internal entities.</t>
  </si>
  <si>
    <t>escan_data_ingestion : CHC</t>
  </si>
  <si>
    <t>Loads CHC carrier data into Hadoop in the standardized raw/landing structure.</t>
  </si>
  <si>
    <t>escan_data_ingestion : CHC_PERM_GMRN_ID_XREF</t>
  </si>
  <si>
    <t>pl_chc_xref</t>
  </si>
  <si>
    <t>Builds/ingests crosswalks between PermID, GMRN, and CHC identifiers for identity linkage.</t>
  </si>
  <si>
    <t>GMRN</t>
  </si>
  <si>
    <t>escan_globalmrn : ghic</t>
  </si>
  <si>
    <t>pl_gmrn_ghic</t>
  </si>
  <si>
    <t>Runs GHIC-related matching/assignment logic as part of global MRN identity resolution.</t>
  </si>
  <si>
    <t>escan_globalmrn : merge</t>
  </si>
  <si>
    <t>pl_gmrn_merge
pl_gmrn_merge_sub</t>
  </si>
  <si>
    <t>Two Differences were identified and implemeted to support sharding</t>
  </si>
  <si>
    <t>Merges patient accounts and global MRN demographics to produce consolidated/merged GMRN data.</t>
  </si>
  <si>
    <t>Lead Discovery</t>
  </si>
  <si>
    <t>leaddiscovery: leadlookup:</t>
  </si>
  <si>
    <t>pl_leaddiscovery_globalmrn_assign (CommerciaL)</t>
  </si>
  <si>
    <t>Two differences were identified wherein Finthrive commented as enhancements in order to manage the quality and volume of leads</t>
  </si>
  <si>
    <t>Looks up candidate leads from serving/xref datasets to seed downstream lead discovery flows.</t>
  </si>
  <si>
    <t>leaddiscovery: medicareleads</t>
  </si>
  <si>
    <t>pl_leaddiscovery_medicareleads</t>
  </si>
  <si>
    <t>Additional filter in databricks. This is an enhancements</t>
  </si>
  <si>
    <t>Generates Medicare-focused leads using rules/data specific to Medicare discovery.</t>
  </si>
  <si>
    <t>leaddiscovery: medicaidleads</t>
  </si>
  <si>
    <t>pl_leaddiscovery_medicaidleads</t>
  </si>
  <si>
    <t>Databricks has additional time-based filtering in patient account selection stage, when lead_mode = 1 with
configurable days (default 365 days). Hadoop uses hardcoded 3 days. ( Enhancement logic)</t>
  </si>
  <si>
    <t>Generates Medicaid-focused leads using rules/data specific to Medicaid discovery.</t>
  </si>
  <si>
    <t>leaddiscovery: lead propagation</t>
  </si>
  <si>
    <t>pl_leaddiscovery_lead_propagation</t>
  </si>
  <si>
    <t>Propagates/enriches leads across related entities using xrefs and linkage rules.</t>
  </si>
  <si>
    <t>leaddiscovery: leadverify</t>
  </si>
  <si>
    <t>pl_leaddiscovery_leadverify</t>
  </si>
  <si>
    <t>Validates/verifies generated leads (quality checks, eligibility, de-duplication).</t>
  </si>
  <si>
    <t>subdob :data mining</t>
  </si>
  <si>
    <t>pl_leaddiscovery_subdob</t>
  </si>
  <si>
    <t>Mines data to infer/enrich DOB (or DOB-related signals) to improve matching/lead quality.</t>
  </si>
  <si>
    <t>leaddiscovery:known_commercial</t>
  </si>
  <si>
    <t>pl_leaddiscovery_known_commercial</t>
  </si>
  <si>
    <t>Generates leads for known commercial populations using commercial-specific criteria.</t>
  </si>
  <si>
    <t>lead discovery: leadlookup: knowncommercial</t>
  </si>
  <si>
    <t>pl_leaddiscovery_leadlookup_knowncommercial</t>
  </si>
  <si>
    <t>Performs lead lookup specifically scoped to the known-commercial segment.</t>
  </si>
  <si>
    <t>Lead Repository</t>
  </si>
  <si>
    <t>leadrepository : escan_import_fc</t>
  </si>
  <si>
    <t>pl_leadrepo_escan_import_fc</t>
  </si>
  <si>
    <t>Three differences were identified. Finthrive confirmed as enhancements to remove bad leads from FC</t>
  </si>
  <si>
    <t>Imports “found coverage” into the lead repository store for consolidation and downstream use.</t>
  </si>
  <si>
    <t>leadrepository : famc_xref_table_update</t>
  </si>
  <si>
    <t>Updates family/cluster cross-reference tables used to relate entities during lead processing.</t>
  </si>
  <si>
    <t>leadrepository : ich_import_parse</t>
  </si>
  <si>
    <t>pl_leadrepo_escan_ich_import</t>
  </si>
  <si>
    <t>Additional filter codes are added for better quality leads</t>
  </si>
  <si>
    <t>Imports and parses ICH coverage history/messages into lead repository-ready structures.</t>
  </si>
  <si>
    <t>lead repository: xref</t>
  </si>
  <si>
    <t>pl_leadrepository_xref,
pl_ich_xref,
pl_fc_xref,
pl_globalmrn_xref</t>
  </si>
  <si>
    <t>Four differences were identified and validated by FinThrive as enhancements designed to control volume and improve the identification of high-value leads from FC.</t>
  </si>
  <si>
    <t>Builds/updates cross-reference (xref) tables that link identities (e.g., PermID/GMRN) to leads.</t>
  </si>
  <si>
    <t>Lead Service Base</t>
  </si>
  <si>
    <t>leadservicebase : lead gen and update : chc</t>
  </si>
  <si>
    <t>pl_leadservicebase_chc</t>
  </si>
  <si>
    <t>Generates/updates Lead Service Base records specifically from CHC-derived inputs.</t>
  </si>
  <si>
    <t>leadservicebase : lead gen and update</t>
  </si>
  <si>
    <t>pl_leadservicebase
 pl_leadservicebase_gmrnmerge</t>
  </si>
  <si>
    <t>Populates and updates the Lead Service Base serving layer from consolidated lead repository inputs.</t>
  </si>
  <si>
    <t>Ops Hint</t>
  </si>
  <si>
    <t>process-hints</t>
  </si>
  <si>
    <t>pl_hintsdiscovery_commercial</t>
  </si>
  <si>
    <t>Processes operational “hints” metadata used to guide, prioritize, or debug workflow execution.</t>
  </si>
  <si>
    <t>leadstatus: upsert</t>
  </si>
  <si>
    <t>No pipeline to compare</t>
  </si>
  <si>
    <t>Upserts lead status records (insert/update) so downstream consumers see current lead state.</t>
  </si>
  <si>
    <t>pl_dataingestion_abi_group1_aid</t>
  </si>
  <si>
    <t>pl_leaddiscovery_globalmrn_assign_aid</t>
  </si>
  <si>
    <t>pl_leaddiscovery_medicaidleads_aid</t>
  </si>
  <si>
    <t>pl_leaddiscovery_medicareleads_aid</t>
  </si>
  <si>
    <t>pl_leaddiscovery_birthmonth</t>
  </si>
  <si>
    <t>pl_hintsdiscovery_payer_ops_widescan</t>
  </si>
  <si>
    <t>pl_leadservicebase_famc</t>
  </si>
  <si>
    <t>pl_leadservicebase_mh</t>
  </si>
  <si>
    <t>pl_medicaidhelper</t>
  </si>
  <si>
    <t>pl_mh_import</t>
  </si>
  <si>
    <t>pl_blacklisted_accounts</t>
  </si>
  <si>
    <t>pl_gmrn_family_helper</t>
  </si>
  <si>
    <t>P1 - Comparison</t>
  </si>
  <si>
    <t>Priority - 1</t>
  </si>
  <si>
    <t>Total P1</t>
  </si>
  <si>
    <t>In-progress</t>
  </si>
  <si>
    <t>Comparing</t>
  </si>
  <si>
    <t>Review</t>
  </si>
  <si>
    <t>% Completion</t>
  </si>
  <si>
    <t>Abinitio vs Databricks</t>
  </si>
  <si>
    <t>Medicare</t>
  </si>
  <si>
    <t>Commercial</t>
  </si>
  <si>
    <t>-</t>
  </si>
  <si>
    <t>P2 - Comparison</t>
  </si>
  <si>
    <t>Priority - 2</t>
  </si>
  <si>
    <t>Total P2</t>
  </si>
  <si>
    <t>P3 - Comparison</t>
  </si>
  <si>
    <t>Priority - 3</t>
  </si>
  <si>
    <t>Total P3</t>
  </si>
  <si>
    <t>Hadoop vs Databricks</t>
  </si>
  <si>
    <t>OPS Hint</t>
  </si>
  <si>
    <t>Total 
P1</t>
  </si>
  <si>
    <t>BBi 
Completed</t>
  </si>
  <si>
    <t xml:space="preserve"> BBI Completion %
(Review Pending)</t>
  </si>
  <si>
    <t>FinThrive Review</t>
  </si>
  <si>
    <t>FinThrive SignOff
Completed</t>
  </si>
  <si>
    <t>Overall Completion %
(Finthrive Signoff)</t>
  </si>
  <si>
    <t>ABI vs DB</t>
  </si>
  <si>
    <t>HD vs DB</t>
  </si>
  <si>
    <t>Total 
P2</t>
  </si>
  <si>
    <t>Total 
P3</t>
  </si>
  <si>
    <t>Overall</t>
  </si>
  <si>
    <t>Total 
P1+P2+P3</t>
  </si>
  <si>
    <t>Total 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</si>
</sst>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rgb="FF9C5700"/>
      <name val="Calibri"/>
      <scheme val="minor"/>
    </font>
    <font>
      <sz val="11"/>
      <color rgb="FF000000"/>
      <name val="Calibri"/>
      <charset val="1"/>
    </font>
    <font>
      <strike/>
      <sz val="11"/>
      <color rgb="FF000000"/>
      <name val="Calibri"/>
      <family val="2"/>
      <scheme val="minor"/>
    </font>
    <font>
      <b/>
      <sz val="12"/>
      <color theme="0"/>
      <name val="Aptos Narrow"/>
      <family val="2"/>
    </font>
    <font>
      <b/>
      <sz val="12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2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rgb="FF000000"/>
      <name val="Calibri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5654"/>
        <bgColor indexed="64"/>
      </patternFill>
    </fill>
    <fill>
      <patternFill patternType="solid">
        <fgColor rgb="FFB4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</patternFill>
    </fill>
    <fill>
      <patternFill patternType="solid">
        <fgColor theme="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12" borderId="0" applyNumberFormat="0" applyBorder="0" applyAlignment="0" applyProtection="0"/>
  </cellStyleXfs>
  <cellXfs count="153">
    <xf numFmtId="0" fontId="0" fillId="0" borderId="0" xfId="0"/>
    <xf numFmtId="0" fontId="0" fillId="0" borderId="1" xfId="0" applyBorder="1"/>
    <xf numFmtId="0" fontId="0" fillId="0" borderId="0" xfId="0" applyAlignment="1">
      <alignment vertical="top"/>
    </xf>
    <xf numFmtId="0" fontId="1" fillId="3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1" fillId="8" borderId="1" xfId="0" applyFont="1" applyFill="1" applyBorder="1" applyAlignment="1">
      <alignment vertical="top"/>
    </xf>
    <xf numFmtId="0" fontId="1" fillId="8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/>
    </xf>
    <xf numFmtId="0" fontId="1" fillId="10" borderId="1" xfId="0" applyFont="1" applyFill="1" applyBorder="1" applyAlignment="1">
      <alignment vertical="top"/>
    </xf>
    <xf numFmtId="0" fontId="1" fillId="10" borderId="1" xfId="0" applyFont="1" applyFill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13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top"/>
    </xf>
    <xf numFmtId="0" fontId="3" fillId="13" borderId="1" xfId="0" applyFont="1" applyFill="1" applyBorder="1" applyAlignment="1">
      <alignment vertical="top"/>
    </xf>
    <xf numFmtId="0" fontId="0" fillId="13" borderId="1" xfId="0" applyFill="1" applyBorder="1" applyAlignment="1">
      <alignment vertical="top"/>
    </xf>
    <xf numFmtId="0" fontId="0" fillId="13" borderId="1" xfId="0" applyFill="1" applyBorder="1" applyAlignment="1">
      <alignment vertical="top" wrapText="1"/>
    </xf>
    <xf numFmtId="0" fontId="3" fillId="15" borderId="1" xfId="0" applyFont="1" applyFill="1" applyBorder="1" applyAlignment="1">
      <alignment vertical="top"/>
    </xf>
    <xf numFmtId="0" fontId="0" fillId="13" borderId="1" xfId="0" applyFill="1" applyBorder="1" applyAlignment="1">
      <alignment horizontal="left" vertical="top" wrapText="1"/>
    </xf>
    <xf numFmtId="0" fontId="6" fillId="13" borderId="1" xfId="0" applyFont="1" applyFill="1" applyBorder="1" applyAlignment="1">
      <alignment vertical="top"/>
    </xf>
    <xf numFmtId="0" fontId="0" fillId="13" borderId="1" xfId="0" quotePrefix="1" applyFill="1" applyBorder="1" applyAlignment="1">
      <alignment vertical="top" wrapText="1"/>
    </xf>
    <xf numFmtId="0" fontId="5" fillId="13" borderId="1" xfId="0" quotePrefix="1" applyFont="1" applyFill="1" applyBorder="1"/>
    <xf numFmtId="0" fontId="0" fillId="0" borderId="0" xfId="0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2" fillId="8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0" borderId="0" xfId="0" applyFont="1"/>
    <xf numFmtId="0" fontId="9" fillId="16" borderId="2" xfId="0" applyFont="1" applyFill="1" applyBorder="1" applyAlignment="1">
      <alignment horizontal="center"/>
    </xf>
    <xf numFmtId="0" fontId="9" fillId="16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9" fillId="16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0" fontId="7" fillId="9" borderId="1" xfId="0" applyFont="1" applyFill="1" applyBorder="1"/>
    <xf numFmtId="0" fontId="7" fillId="9" borderId="1" xfId="0" applyFont="1" applyFill="1" applyBorder="1" applyAlignment="1">
      <alignment wrapText="1"/>
    </xf>
    <xf numFmtId="0" fontId="7" fillId="9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top" wrapText="1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0" fontId="4" fillId="14" borderId="1" xfId="1" applyFill="1" applyBorder="1" applyAlignment="1">
      <alignment vertical="top" wrapText="1"/>
    </xf>
    <xf numFmtId="0" fontId="9" fillId="16" borderId="16" xfId="0" applyFont="1" applyFill="1" applyBorder="1" applyAlignment="1">
      <alignment horizontal="center"/>
    </xf>
    <xf numFmtId="0" fontId="3" fillId="0" borderId="21" xfId="0" applyFont="1" applyBorder="1"/>
    <xf numFmtId="0" fontId="9" fillId="16" borderId="22" xfId="0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9" fontId="3" fillId="20" borderId="18" xfId="0" applyNumberFormat="1" applyFont="1" applyFill="1" applyBorder="1" applyAlignment="1">
      <alignment horizontal="center"/>
    </xf>
    <xf numFmtId="0" fontId="9" fillId="16" borderId="18" xfId="0" applyFont="1" applyFill="1" applyBorder="1" applyAlignment="1">
      <alignment horizontal="center"/>
    </xf>
    <xf numFmtId="9" fontId="3" fillId="0" borderId="18" xfId="0" applyNumberFormat="1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9" fillId="16" borderId="23" xfId="0" applyFont="1" applyFill="1" applyBorder="1" applyAlignment="1">
      <alignment horizontal="center"/>
    </xf>
    <xf numFmtId="0" fontId="1" fillId="13" borderId="1" xfId="0" applyFont="1" applyFill="1" applyBorder="1" applyAlignment="1">
      <alignment vertical="top"/>
    </xf>
    <xf numFmtId="0" fontId="1" fillId="13" borderId="1" xfId="0" applyFont="1" applyFill="1" applyBorder="1" applyAlignment="1">
      <alignment vertical="top" wrapText="1"/>
    </xf>
    <xf numFmtId="0" fontId="0" fillId="13" borderId="1" xfId="0" applyFill="1" applyBorder="1" applyAlignment="1">
      <alignment horizontal="center" vertical="top"/>
    </xf>
    <xf numFmtId="164" fontId="0" fillId="13" borderId="1" xfId="0" applyNumberFormat="1" applyFill="1" applyBorder="1" applyAlignment="1">
      <alignment horizontal="center" vertical="top"/>
    </xf>
    <xf numFmtId="0" fontId="7" fillId="9" borderId="1" xfId="0" applyFont="1" applyFill="1" applyBorder="1" applyAlignment="1">
      <alignment vertical="center" wrapText="1"/>
    </xf>
    <xf numFmtId="9" fontId="11" fillId="13" borderId="1" xfId="0" applyNumberFormat="1" applyFont="1" applyFill="1" applyBorder="1" applyAlignment="1">
      <alignment horizontal="center" vertical="center" wrapText="1"/>
    </xf>
    <xf numFmtId="9" fontId="0" fillId="13" borderId="1" xfId="0" applyNumberFormat="1" applyFill="1" applyBorder="1" applyAlignment="1">
      <alignment vertical="center" wrapText="1"/>
    </xf>
    <xf numFmtId="9" fontId="10" fillId="13" borderId="1" xfId="0" applyNumberFormat="1" applyFont="1" applyFill="1" applyBorder="1" applyAlignment="1">
      <alignment horizontal="center" vertical="center" wrapText="1"/>
    </xf>
    <xf numFmtId="9" fontId="0" fillId="13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13" borderId="1" xfId="0" applyFill="1" applyBorder="1" applyAlignment="1">
      <alignment vertical="center"/>
    </xf>
    <xf numFmtId="15" fontId="0" fillId="13" borderId="1" xfId="0" applyNumberFormat="1" applyFill="1" applyBorder="1" applyAlignment="1">
      <alignment horizontal="left" vertical="center"/>
    </xf>
    <xf numFmtId="9" fontId="0" fillId="1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5" fontId="0" fillId="13" borderId="1" xfId="0" applyNumberFormat="1" applyFill="1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5" fontId="11" fillId="13" borderId="1" xfId="0" applyNumberFormat="1" applyFont="1" applyFill="1" applyBorder="1" applyAlignment="1">
      <alignment horizontal="center" vertical="center"/>
    </xf>
    <xf numFmtId="15" fontId="10" fillId="13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12" fillId="16" borderId="1" xfId="0" applyFont="1" applyFill="1" applyBorder="1" applyAlignment="1">
      <alignment horizontal="center" vertical="center"/>
    </xf>
    <xf numFmtId="0" fontId="0" fillId="21" borderId="1" xfId="0" applyFill="1" applyBorder="1" applyAlignment="1">
      <alignment horizontal="center"/>
    </xf>
    <xf numFmtId="0" fontId="9" fillId="22" borderId="1" xfId="0" applyFont="1" applyFill="1" applyBorder="1" applyAlignment="1">
      <alignment horizontal="center" vertical="center"/>
    </xf>
    <xf numFmtId="0" fontId="9" fillId="2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4" fillId="24" borderId="1" xfId="0" applyFont="1" applyFill="1" applyBorder="1" applyAlignment="1">
      <alignment horizontal="center" vertical="center" wrapText="1"/>
    </xf>
    <xf numFmtId="0" fontId="15" fillId="2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3" fillId="21" borderId="1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horizontal="center" vertical="center" wrapText="1"/>
    </xf>
    <xf numFmtId="9" fontId="16" fillId="22" borderId="1" xfId="0" applyNumberFormat="1" applyFont="1" applyFill="1" applyBorder="1" applyAlignment="1">
      <alignment horizontal="center"/>
    </xf>
    <xf numFmtId="9" fontId="17" fillId="3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3" fillId="27" borderId="1" xfId="0" applyFont="1" applyFill="1" applyBorder="1" applyAlignment="1">
      <alignment vertical="top"/>
    </xf>
    <xf numFmtId="9" fontId="17" fillId="10" borderId="1" xfId="0" applyNumberFormat="1" applyFont="1" applyFill="1" applyBorder="1" applyAlignment="1">
      <alignment horizontal="center"/>
    </xf>
    <xf numFmtId="9" fontId="16" fillId="10" borderId="1" xfId="0" applyNumberFormat="1" applyFont="1" applyFill="1" applyBorder="1" applyAlignment="1">
      <alignment horizontal="center"/>
    </xf>
    <xf numFmtId="0" fontId="3" fillId="28" borderId="1" xfId="0" applyFont="1" applyFill="1" applyBorder="1" applyAlignment="1">
      <alignment vertical="top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16" xfId="0" applyFont="1" applyBorder="1" applyAlignment="1">
      <alignment horizontal="center"/>
    </xf>
    <xf numFmtId="15" fontId="0" fillId="13" borderId="1" xfId="0" applyNumberFormat="1" applyFill="1" applyBorder="1" applyAlignment="1">
      <alignment horizontal="center" vertical="top"/>
    </xf>
    <xf numFmtId="15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left" vertical="top" wrapText="1"/>
    </xf>
    <xf numFmtId="0" fontId="0" fillId="13" borderId="2" xfId="0" applyFill="1" applyBorder="1" applyAlignment="1">
      <alignment horizontal="left" vertical="top" wrapText="1"/>
    </xf>
    <xf numFmtId="0" fontId="0" fillId="13" borderId="24" xfId="0" applyFill="1" applyBorder="1" applyAlignment="1">
      <alignment horizontal="left" vertical="top" wrapText="1"/>
    </xf>
    <xf numFmtId="0" fontId="0" fillId="13" borderId="24" xfId="0" applyFill="1" applyBorder="1" applyAlignment="1">
      <alignment horizontal="center" vertical="top" wrapText="1"/>
    </xf>
    <xf numFmtId="0" fontId="0" fillId="13" borderId="3" xfId="0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9" fillId="16" borderId="10" xfId="0" applyFont="1" applyFill="1" applyBorder="1" applyAlignment="1">
      <alignment horizontal="center"/>
    </xf>
    <xf numFmtId="0" fontId="9" fillId="16" borderId="15" xfId="0" applyFont="1" applyFill="1" applyBorder="1" applyAlignment="1">
      <alignment horizontal="center"/>
    </xf>
    <xf numFmtId="0" fontId="9" fillId="16" borderId="11" xfId="0" applyFont="1" applyFill="1" applyBorder="1" applyAlignment="1">
      <alignment horizontal="center"/>
    </xf>
    <xf numFmtId="0" fontId="9" fillId="16" borderId="3" xfId="0" applyFont="1" applyFill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9" borderId="4" xfId="0" applyFont="1" applyFill="1" applyBorder="1" applyAlignment="1">
      <alignment horizontal="center"/>
    </xf>
    <xf numFmtId="0" fontId="9" fillId="19" borderId="5" xfId="0" applyFont="1" applyFill="1" applyBorder="1" applyAlignment="1">
      <alignment horizontal="center"/>
    </xf>
    <xf numFmtId="0" fontId="9" fillId="19" borderId="7" xfId="0" applyFont="1" applyFill="1" applyBorder="1" applyAlignment="1">
      <alignment horizontal="center"/>
    </xf>
    <xf numFmtId="0" fontId="9" fillId="18" borderId="5" xfId="0" applyFont="1" applyFill="1" applyBorder="1" applyAlignment="1">
      <alignment horizontal="center"/>
    </xf>
    <xf numFmtId="0" fontId="9" fillId="18" borderId="6" xfId="0" applyFont="1" applyFill="1" applyBorder="1" applyAlignment="1">
      <alignment horizontal="center"/>
    </xf>
    <xf numFmtId="0" fontId="9" fillId="17" borderId="12" xfId="0" applyFont="1" applyFill="1" applyBorder="1" applyAlignment="1">
      <alignment horizontal="center"/>
    </xf>
    <xf numFmtId="0" fontId="9" fillId="17" borderId="13" xfId="0" applyFont="1" applyFill="1" applyBorder="1" applyAlignment="1">
      <alignment horizontal="center"/>
    </xf>
    <xf numFmtId="0" fontId="9" fillId="17" borderId="14" xfId="0" applyFont="1" applyFill="1" applyBorder="1" applyAlignment="1">
      <alignment horizontal="center"/>
    </xf>
    <xf numFmtId="0" fontId="3" fillId="0" borderId="1" xfId="0" applyFont="1" applyBorder="1" applyAlignment="1">
      <alignment vertical="top"/>
    </xf>
    <xf numFmtId="0" fontId="7" fillId="9" borderId="25" xfId="0" applyFont="1" applyFill="1" applyBorder="1" applyAlignment="1">
      <alignment horizontal="center" vertical="center" wrapText="1"/>
    </xf>
    <xf numFmtId="0" fontId="0" fillId="0" borderId="25" xfId="0" applyBorder="1" applyAlignment="1">
      <alignment vertical="top"/>
    </xf>
    <xf numFmtId="0" fontId="0" fillId="0" borderId="25" xfId="0" applyBorder="1" applyAlignment="1">
      <alignment vertical="top" wrapText="1"/>
    </xf>
    <xf numFmtId="0" fontId="0" fillId="0" borderId="25" xfId="0" applyBorder="1" applyAlignment="1">
      <alignment horizontal="left" vertical="top" wrapText="1"/>
    </xf>
    <xf numFmtId="0" fontId="0" fillId="13" borderId="25" xfId="0" applyFill="1" applyBorder="1" applyAlignment="1">
      <alignment vertical="top" wrapText="1"/>
    </xf>
    <xf numFmtId="0" fontId="18" fillId="13" borderId="1" xfId="0" applyFont="1" applyFill="1" applyBorder="1" applyAlignment="1">
      <alignment vertical="top" wrapText="1"/>
    </xf>
  </cellXfs>
  <cellStyles count="2">
    <cellStyle name="Neutral" xfId="1" builtinId="28"/>
    <cellStyle name="Normal" xfId="0" builtinId="0"/>
  </cellStyles>
  <dxfs count="18">
    <dxf>
      <font>
        <color theme="1"/>
      </font>
      <fill>
        <patternFill patternType="solid">
          <bgColor rgb="FFFF9B5C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ill>
        <patternFill>
          <bgColor rgb="FF00E091"/>
        </patternFill>
      </fill>
    </dxf>
    <dxf>
      <fill>
        <patternFill>
          <bgColor rgb="FFC0F9E1"/>
        </patternFill>
      </fill>
    </dxf>
    <dxf>
      <fill>
        <patternFill>
          <bgColor rgb="FFB4FF00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>
          <bgColor rgb="FF00E091"/>
        </patternFill>
      </fill>
    </dxf>
    <dxf>
      <fill>
        <patternFill>
          <bgColor rgb="FFB4FF00"/>
        </patternFill>
      </fill>
    </dxf>
    <dxf>
      <fill>
        <patternFill>
          <bgColor rgb="FFFF9B5C"/>
        </patternFill>
      </fill>
    </dxf>
    <dxf>
      <fill>
        <patternFill>
          <bgColor rgb="FFC0F9E1"/>
        </patternFill>
      </fill>
    </dxf>
    <dxf>
      <font>
        <color theme="1"/>
      </font>
      <fill>
        <patternFill patternType="solid">
          <bgColor rgb="FF00B0F0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>
          <bgColor rgb="FF00E091"/>
        </patternFill>
      </fill>
    </dxf>
    <dxf>
      <fill>
        <patternFill>
          <bgColor rgb="FFB4FF00"/>
        </patternFill>
      </fill>
    </dxf>
    <dxf>
      <fill>
        <patternFill>
          <bgColor rgb="FFFF9B5C"/>
        </patternFill>
      </fill>
    </dxf>
    <dxf>
      <fill>
        <patternFill>
          <bgColor rgb="FFC0F9E1"/>
        </patternFill>
      </fill>
    </dxf>
  </dxfs>
  <tableStyles count="0" defaultTableStyle="TableStyleMedium2" defaultPivotStyle="PivotStyleLight16"/>
  <colors>
    <mruColors>
      <color rgb="FFB4FF00"/>
      <color rgb="FF00E091"/>
      <color rgb="FFC0F9E1"/>
      <color rgb="FFFF9B5C"/>
      <color rgb="FFFF9B9C"/>
      <color rgb="FF00565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F0CAA-A752-45C9-9691-1B0E445F8405}">
  <dimension ref="A1:K40"/>
  <sheetViews>
    <sheetView zoomScale="85" zoomScaleNormal="85" workbookViewId="0">
      <pane ySplit="1" topLeftCell="A30" activePane="bottomLeft" state="frozen"/>
      <selection pane="bottomLeft" activeCell="C37" sqref="C37"/>
    </sheetView>
  </sheetViews>
  <sheetFormatPr defaultColWidth="9.140625" defaultRowHeight="15" customHeight="1"/>
  <cols>
    <col min="1" max="1" width="7" style="21" customWidth="1"/>
    <col min="2" max="2" width="13.85546875" style="22" customWidth="1"/>
    <col min="3" max="3" width="65.140625" style="2" bestFit="1" customWidth="1"/>
    <col min="4" max="4" width="43.140625" style="2" customWidth="1"/>
    <col min="5" max="5" width="21" style="83" customWidth="1"/>
    <col min="6" max="6" width="10" style="21" bestFit="1" customWidth="1"/>
    <col min="7" max="7" width="13.140625" style="21" customWidth="1"/>
    <col min="8" max="8" width="14.28515625" style="21" customWidth="1"/>
    <col min="9" max="9" width="12.7109375" style="21" customWidth="1"/>
    <col min="10" max="10" width="14.28515625" style="78" customWidth="1"/>
    <col min="11" max="11" width="93.42578125" style="2" bestFit="1" customWidth="1"/>
    <col min="12" max="16384" width="9.140625" style="2"/>
  </cols>
  <sheetData>
    <row r="1" spans="1:11" ht="32.25">
      <c r="A1" s="52" t="s">
        <v>0</v>
      </c>
      <c r="B1" s="53" t="s">
        <v>1</v>
      </c>
      <c r="C1" s="52" t="s">
        <v>2</v>
      </c>
      <c r="D1" s="54" t="s">
        <v>3</v>
      </c>
      <c r="E1" s="55" t="s">
        <v>4</v>
      </c>
      <c r="F1" s="55" t="s">
        <v>5</v>
      </c>
      <c r="G1" s="56" t="s">
        <v>6</v>
      </c>
      <c r="H1" s="56" t="s">
        <v>7</v>
      </c>
      <c r="I1" s="55" t="s">
        <v>8</v>
      </c>
      <c r="J1" s="56" t="s">
        <v>9</v>
      </c>
      <c r="K1" s="55" t="s">
        <v>10</v>
      </c>
    </row>
    <row r="2" spans="1:11" ht="45.75">
      <c r="A2" s="26">
        <v>1</v>
      </c>
      <c r="B2" s="27" t="s">
        <v>11</v>
      </c>
      <c r="C2" s="28" t="s">
        <v>12</v>
      </c>
      <c r="D2" s="30" t="s">
        <v>13</v>
      </c>
      <c r="E2" s="79" t="s">
        <v>14</v>
      </c>
      <c r="F2" s="26" t="s">
        <v>15</v>
      </c>
      <c r="G2" s="121">
        <v>46014</v>
      </c>
      <c r="H2" s="81">
        <v>1</v>
      </c>
      <c r="I2" s="26" t="s">
        <v>16</v>
      </c>
      <c r="J2" s="78" t="s">
        <v>17</v>
      </c>
      <c r="K2" s="25" t="s">
        <v>18</v>
      </c>
    </row>
    <row r="3" spans="1:11" ht="76.5">
      <c r="A3" s="26">
        <v>2</v>
      </c>
      <c r="B3" s="27" t="s">
        <v>11</v>
      </c>
      <c r="C3" s="31" t="s">
        <v>19</v>
      </c>
      <c r="D3" s="30" t="s">
        <v>20</v>
      </c>
      <c r="E3" s="79" t="s">
        <v>21</v>
      </c>
      <c r="F3" s="26" t="s">
        <v>15</v>
      </c>
      <c r="G3" s="121">
        <v>46008</v>
      </c>
      <c r="H3" s="81">
        <v>1</v>
      </c>
      <c r="I3" s="26" t="s">
        <v>22</v>
      </c>
      <c r="J3" s="72" t="s">
        <v>23</v>
      </c>
      <c r="K3" s="30" t="s">
        <v>24</v>
      </c>
    </row>
    <row r="4" spans="1:11" ht="30.75">
      <c r="A4" s="26">
        <v>3</v>
      </c>
      <c r="B4" s="27" t="s">
        <v>11</v>
      </c>
      <c r="C4" s="28" t="s">
        <v>25</v>
      </c>
      <c r="D4" s="57" t="s">
        <v>26</v>
      </c>
      <c r="E4" s="79" t="s">
        <v>27</v>
      </c>
      <c r="F4" s="26" t="s">
        <v>15</v>
      </c>
      <c r="G4" s="121">
        <v>45993</v>
      </c>
      <c r="H4" s="81">
        <v>1</v>
      </c>
      <c r="I4" s="26" t="s">
        <v>22</v>
      </c>
      <c r="J4" s="73"/>
      <c r="K4" s="30" t="s">
        <v>28</v>
      </c>
    </row>
    <row r="5" spans="1:11">
      <c r="A5" s="26">
        <v>4</v>
      </c>
      <c r="B5" s="27" t="s">
        <v>11</v>
      </c>
      <c r="C5" s="28" t="s">
        <v>29</v>
      </c>
      <c r="D5" s="29" t="s">
        <v>30</v>
      </c>
      <c r="E5" s="79" t="s">
        <v>31</v>
      </c>
      <c r="F5" s="26" t="s">
        <v>15</v>
      </c>
      <c r="G5" s="121">
        <v>45975</v>
      </c>
      <c r="H5" s="81">
        <v>1</v>
      </c>
      <c r="I5" s="26" t="s">
        <v>16</v>
      </c>
      <c r="J5" s="74" t="s">
        <v>32</v>
      </c>
      <c r="K5" s="30" t="s">
        <v>33</v>
      </c>
    </row>
    <row r="6" spans="1:11" ht="76.5">
      <c r="A6" s="26">
        <v>5</v>
      </c>
      <c r="B6" s="27" t="s">
        <v>11</v>
      </c>
      <c r="C6" s="31" t="s">
        <v>34</v>
      </c>
      <c r="D6" s="30" t="s">
        <v>35</v>
      </c>
      <c r="E6" s="79" t="s">
        <v>21</v>
      </c>
      <c r="F6" s="26" t="s">
        <v>15</v>
      </c>
      <c r="G6" s="121">
        <v>46010</v>
      </c>
      <c r="H6" s="81">
        <v>1</v>
      </c>
      <c r="I6" s="26" t="s">
        <v>22</v>
      </c>
      <c r="J6" s="72" t="s">
        <v>23</v>
      </c>
      <c r="K6" s="29"/>
    </row>
    <row r="7" spans="1:11">
      <c r="A7" s="26">
        <v>6</v>
      </c>
      <c r="B7" s="27" t="s">
        <v>11</v>
      </c>
      <c r="C7" s="28" t="s">
        <v>36</v>
      </c>
      <c r="D7" s="29" t="s">
        <v>37</v>
      </c>
      <c r="E7" s="79" t="s">
        <v>31</v>
      </c>
      <c r="F7" s="26" t="s">
        <v>15</v>
      </c>
      <c r="G7" s="121">
        <v>45980</v>
      </c>
      <c r="H7" s="81">
        <v>1</v>
      </c>
      <c r="I7" s="26" t="s">
        <v>16</v>
      </c>
      <c r="J7" s="75"/>
      <c r="K7" s="29"/>
    </row>
    <row r="8" spans="1:11" ht="30.75">
      <c r="A8" s="26">
        <v>7</v>
      </c>
      <c r="B8" s="27" t="s">
        <v>11</v>
      </c>
      <c r="C8" s="31" t="s">
        <v>38</v>
      </c>
      <c r="D8" s="30" t="s">
        <v>39</v>
      </c>
      <c r="E8" s="79" t="s">
        <v>27</v>
      </c>
      <c r="F8" s="26" t="s">
        <v>15</v>
      </c>
      <c r="G8" s="121">
        <v>45993</v>
      </c>
      <c r="H8" s="81">
        <v>1</v>
      </c>
      <c r="I8" s="26" t="s">
        <v>22</v>
      </c>
      <c r="J8" s="72" t="s">
        <v>23</v>
      </c>
      <c r="K8" s="30" t="s">
        <v>28</v>
      </c>
    </row>
    <row r="9" spans="1:11" ht="30.75">
      <c r="A9" s="26">
        <v>8</v>
      </c>
      <c r="B9" s="27" t="s">
        <v>11</v>
      </c>
      <c r="C9" s="31" t="s">
        <v>40</v>
      </c>
      <c r="D9" s="30" t="s">
        <v>41</v>
      </c>
      <c r="E9" s="29" t="s">
        <v>31</v>
      </c>
      <c r="F9" s="69" t="s">
        <v>42</v>
      </c>
      <c r="G9" s="69"/>
      <c r="H9" s="29"/>
      <c r="I9" s="69" t="s">
        <v>22</v>
      </c>
      <c r="J9" s="29"/>
      <c r="K9" s="29"/>
    </row>
    <row r="10" spans="1:11" ht="30.75">
      <c r="A10" s="26">
        <v>9</v>
      </c>
      <c r="B10" s="27" t="s">
        <v>11</v>
      </c>
      <c r="C10" s="31" t="s">
        <v>43</v>
      </c>
      <c r="D10" s="30" t="s">
        <v>39</v>
      </c>
      <c r="E10" s="79" t="s">
        <v>27</v>
      </c>
      <c r="F10" s="26" t="s">
        <v>15</v>
      </c>
      <c r="G10" s="121">
        <v>45994</v>
      </c>
      <c r="H10" s="81">
        <v>1</v>
      </c>
      <c r="I10" s="26" t="s">
        <v>22</v>
      </c>
      <c r="J10" s="75"/>
      <c r="K10" s="30" t="s">
        <v>28</v>
      </c>
    </row>
    <row r="11" spans="1:11" ht="30.75">
      <c r="A11" s="26">
        <v>10</v>
      </c>
      <c r="B11" s="27" t="s">
        <v>11</v>
      </c>
      <c r="C11" s="31" t="s">
        <v>44</v>
      </c>
      <c r="D11" s="30" t="s">
        <v>41</v>
      </c>
      <c r="E11" s="29" t="s">
        <v>31</v>
      </c>
      <c r="F11" s="26" t="s">
        <v>15</v>
      </c>
      <c r="G11" s="121">
        <v>45999</v>
      </c>
      <c r="H11" s="81">
        <v>1</v>
      </c>
      <c r="I11" s="26" t="s">
        <v>22</v>
      </c>
      <c r="J11" s="75"/>
      <c r="K11" s="30" t="s">
        <v>28</v>
      </c>
    </row>
    <row r="12" spans="1:11">
      <c r="A12" s="26">
        <v>11</v>
      </c>
      <c r="B12" s="27" t="s">
        <v>11</v>
      </c>
      <c r="C12" s="31" t="s">
        <v>45</v>
      </c>
      <c r="D12" s="122" t="s">
        <v>46</v>
      </c>
      <c r="E12" s="29" t="s">
        <v>27</v>
      </c>
      <c r="F12" s="70" t="s">
        <v>47</v>
      </c>
      <c r="G12" s="120">
        <v>46007</v>
      </c>
      <c r="H12" s="29"/>
      <c r="I12" s="69" t="s">
        <v>48</v>
      </c>
      <c r="J12" s="29"/>
      <c r="K12" s="29" t="s">
        <v>49</v>
      </c>
    </row>
    <row r="13" spans="1:11">
      <c r="A13" s="26">
        <v>12</v>
      </c>
      <c r="B13" s="27" t="s">
        <v>11</v>
      </c>
      <c r="C13" s="31" t="s">
        <v>50</v>
      </c>
      <c r="D13" s="122"/>
      <c r="E13" s="29" t="s">
        <v>27</v>
      </c>
      <c r="F13" s="70" t="s">
        <v>47</v>
      </c>
      <c r="G13" s="120">
        <v>46007</v>
      </c>
      <c r="H13" s="29"/>
      <c r="I13" s="69" t="s">
        <v>48</v>
      </c>
      <c r="J13" s="29"/>
      <c r="K13" s="29" t="s">
        <v>49</v>
      </c>
    </row>
    <row r="14" spans="1:11">
      <c r="A14" s="26">
        <v>13</v>
      </c>
      <c r="B14" s="27" t="s">
        <v>11</v>
      </c>
      <c r="C14" s="31" t="s">
        <v>51</v>
      </c>
      <c r="D14" s="122"/>
      <c r="E14" s="29" t="s">
        <v>27</v>
      </c>
      <c r="F14" s="70" t="s">
        <v>47</v>
      </c>
      <c r="G14" s="120">
        <v>46007</v>
      </c>
      <c r="H14" s="29"/>
      <c r="I14" s="69" t="s">
        <v>48</v>
      </c>
      <c r="J14" s="29"/>
      <c r="K14" s="29" t="s">
        <v>49</v>
      </c>
    </row>
    <row r="15" spans="1:11">
      <c r="A15" s="26">
        <v>14</v>
      </c>
      <c r="B15" s="27" t="s">
        <v>11</v>
      </c>
      <c r="C15" s="31" t="s">
        <v>52</v>
      </c>
      <c r="D15" s="122"/>
      <c r="E15" s="29" t="s">
        <v>27</v>
      </c>
      <c r="F15" s="70" t="s">
        <v>47</v>
      </c>
      <c r="G15" s="120">
        <v>46007</v>
      </c>
      <c r="H15" s="29"/>
      <c r="I15" s="69" t="s">
        <v>48</v>
      </c>
      <c r="J15" s="29"/>
      <c r="K15" s="29" t="s">
        <v>49</v>
      </c>
    </row>
    <row r="16" spans="1:11">
      <c r="A16" s="26">
        <v>15</v>
      </c>
      <c r="B16" s="27" t="s">
        <v>11</v>
      </c>
      <c r="C16" s="31" t="s">
        <v>53</v>
      </c>
      <c r="D16" s="122"/>
      <c r="E16" s="29" t="s">
        <v>27</v>
      </c>
      <c r="F16" s="70" t="s">
        <v>47</v>
      </c>
      <c r="G16" s="120">
        <v>46007</v>
      </c>
      <c r="H16" s="29"/>
      <c r="I16" s="69" t="s">
        <v>48</v>
      </c>
      <c r="J16" s="29"/>
      <c r="K16" s="29" t="s">
        <v>49</v>
      </c>
    </row>
    <row r="17" spans="1:11" ht="30.75" customHeight="1">
      <c r="A17" s="26">
        <v>16</v>
      </c>
      <c r="B17" s="32" t="s">
        <v>54</v>
      </c>
      <c r="C17" s="108" t="s">
        <v>55</v>
      </c>
      <c r="D17" s="123" t="s">
        <v>56</v>
      </c>
      <c r="E17" s="79" t="s">
        <v>57</v>
      </c>
      <c r="F17" s="26" t="s">
        <v>15</v>
      </c>
      <c r="G17" s="121">
        <v>46015</v>
      </c>
      <c r="H17" s="81">
        <v>1</v>
      </c>
      <c r="I17" s="26" t="s">
        <v>22</v>
      </c>
      <c r="J17" s="76"/>
      <c r="K17" s="29"/>
    </row>
    <row r="18" spans="1:11" ht="30.75">
      <c r="A18" s="26">
        <v>17</v>
      </c>
      <c r="B18" s="32" t="s">
        <v>54</v>
      </c>
      <c r="C18" s="108" t="s">
        <v>58</v>
      </c>
      <c r="D18" s="124"/>
      <c r="E18" s="79" t="s">
        <v>57</v>
      </c>
      <c r="F18" s="26" t="s">
        <v>15</v>
      </c>
      <c r="G18" s="121">
        <v>46015</v>
      </c>
      <c r="H18" s="81">
        <v>1</v>
      </c>
      <c r="I18" s="26" t="s">
        <v>22</v>
      </c>
      <c r="J18" s="76"/>
      <c r="K18" s="29"/>
    </row>
    <row r="19" spans="1:11" ht="30.75">
      <c r="A19" s="26">
        <v>18</v>
      </c>
      <c r="B19" s="32" t="s">
        <v>54</v>
      </c>
      <c r="C19" s="108" t="s">
        <v>59</v>
      </c>
      <c r="D19" s="124"/>
      <c r="E19" s="79" t="s">
        <v>57</v>
      </c>
      <c r="F19" s="26" t="s">
        <v>15</v>
      </c>
      <c r="G19" s="121">
        <v>46038</v>
      </c>
      <c r="H19" s="81">
        <v>0.8</v>
      </c>
      <c r="I19" s="26" t="s">
        <v>48</v>
      </c>
      <c r="J19" s="69"/>
      <c r="K19" s="29" t="s">
        <v>60</v>
      </c>
    </row>
    <row r="20" spans="1:11" ht="30.75">
      <c r="A20" s="26">
        <v>19</v>
      </c>
      <c r="B20" s="32" t="s">
        <v>54</v>
      </c>
      <c r="C20" s="108" t="s">
        <v>61</v>
      </c>
      <c r="D20" s="124"/>
      <c r="E20" s="79" t="s">
        <v>62</v>
      </c>
      <c r="F20" s="26" t="s">
        <v>15</v>
      </c>
      <c r="G20" s="121">
        <v>46015</v>
      </c>
      <c r="H20" s="81">
        <v>1</v>
      </c>
      <c r="I20" s="26" t="s">
        <v>22</v>
      </c>
      <c r="J20" s="76"/>
      <c r="K20" s="29"/>
    </row>
    <row r="21" spans="1:11" ht="30.75">
      <c r="A21" s="26">
        <v>20</v>
      </c>
      <c r="B21" s="32" t="s">
        <v>54</v>
      </c>
      <c r="C21" s="108" t="s">
        <v>63</v>
      </c>
      <c r="D21" s="124"/>
      <c r="E21" s="79" t="s">
        <v>62</v>
      </c>
      <c r="F21" s="26" t="s">
        <v>15</v>
      </c>
      <c r="G21" s="121">
        <v>46015</v>
      </c>
      <c r="H21" s="81">
        <v>1</v>
      </c>
      <c r="I21" s="26" t="s">
        <v>22</v>
      </c>
      <c r="J21" s="76"/>
      <c r="K21" s="29"/>
    </row>
    <row r="22" spans="1:11" ht="30.75">
      <c r="A22" s="26">
        <v>21</v>
      </c>
      <c r="B22" s="32" t="s">
        <v>54</v>
      </c>
      <c r="C22" s="108" t="s">
        <v>64</v>
      </c>
      <c r="D22" s="124"/>
      <c r="E22" s="79" t="s">
        <v>62</v>
      </c>
      <c r="F22" s="26" t="s">
        <v>15</v>
      </c>
      <c r="G22" s="121">
        <v>46015</v>
      </c>
      <c r="H22" s="81">
        <v>1</v>
      </c>
      <c r="I22" s="26" t="s">
        <v>22</v>
      </c>
      <c r="J22" s="77"/>
      <c r="K22" s="29"/>
    </row>
    <row r="23" spans="1:11" ht="30.75">
      <c r="A23" s="26">
        <v>22</v>
      </c>
      <c r="B23" s="32" t="s">
        <v>54</v>
      </c>
      <c r="C23" s="108" t="s">
        <v>65</v>
      </c>
      <c r="D23" s="124"/>
      <c r="E23" s="79" t="s">
        <v>62</v>
      </c>
      <c r="F23" s="26" t="s">
        <v>15</v>
      </c>
      <c r="G23" s="121">
        <v>46016</v>
      </c>
      <c r="H23" s="81">
        <v>1</v>
      </c>
      <c r="I23" s="26" t="s">
        <v>22</v>
      </c>
      <c r="J23" s="77"/>
      <c r="K23" s="29"/>
    </row>
    <row r="24" spans="1:11" ht="30.75">
      <c r="A24" s="26">
        <v>23</v>
      </c>
      <c r="B24" s="32" t="s">
        <v>54</v>
      </c>
      <c r="C24" s="108" t="s">
        <v>66</v>
      </c>
      <c r="D24" s="124"/>
      <c r="E24" s="79" t="s">
        <v>62</v>
      </c>
      <c r="F24" s="26" t="s">
        <v>15</v>
      </c>
      <c r="G24" s="121">
        <v>46016</v>
      </c>
      <c r="H24" s="81">
        <v>1</v>
      </c>
      <c r="I24" s="26" t="s">
        <v>22</v>
      </c>
      <c r="J24" s="77"/>
      <c r="K24" s="29"/>
    </row>
    <row r="25" spans="1:11" ht="30.75">
      <c r="A25" s="26">
        <v>24</v>
      </c>
      <c r="B25" s="32" t="s">
        <v>54</v>
      </c>
      <c r="C25" s="108" t="s">
        <v>67</v>
      </c>
      <c r="D25" s="124"/>
      <c r="E25" s="79" t="s">
        <v>62</v>
      </c>
      <c r="F25" s="26" t="s">
        <v>15</v>
      </c>
      <c r="G25" s="121">
        <v>46016</v>
      </c>
      <c r="H25" s="81">
        <v>1</v>
      </c>
      <c r="I25" s="26" t="s">
        <v>22</v>
      </c>
      <c r="J25" s="77"/>
      <c r="K25" s="29"/>
    </row>
    <row r="26" spans="1:11" ht="30.75">
      <c r="A26" s="26">
        <v>25</v>
      </c>
      <c r="B26" s="32" t="s">
        <v>54</v>
      </c>
      <c r="C26" s="108" t="s">
        <v>68</v>
      </c>
      <c r="D26" s="124"/>
      <c r="E26" s="79" t="s">
        <v>62</v>
      </c>
      <c r="F26" s="26" t="s">
        <v>15</v>
      </c>
      <c r="G26" s="121">
        <v>46017</v>
      </c>
      <c r="H26" s="81">
        <v>1</v>
      </c>
      <c r="I26" s="26" t="s">
        <v>22</v>
      </c>
      <c r="J26" s="77"/>
      <c r="K26" s="29"/>
    </row>
    <row r="27" spans="1:11" ht="30.75">
      <c r="A27" s="26">
        <v>26</v>
      </c>
      <c r="B27" s="32" t="s">
        <v>54</v>
      </c>
      <c r="C27" s="111" t="s">
        <v>69</v>
      </c>
      <c r="D27" s="126"/>
      <c r="E27" s="79" t="s">
        <v>62</v>
      </c>
      <c r="F27" s="26" t="s">
        <v>15</v>
      </c>
      <c r="G27" s="121">
        <v>46017</v>
      </c>
      <c r="H27" s="81">
        <v>1</v>
      </c>
      <c r="I27" s="26" t="s">
        <v>22</v>
      </c>
      <c r="J27" s="77"/>
      <c r="K27" s="29"/>
    </row>
    <row r="28" spans="1:11" ht="30.75">
      <c r="A28" s="26">
        <v>27</v>
      </c>
      <c r="B28" s="32" t="s">
        <v>70</v>
      </c>
      <c r="C28" s="31" t="s">
        <v>71</v>
      </c>
      <c r="D28" s="123" t="s">
        <v>72</v>
      </c>
      <c r="E28" s="79" t="s">
        <v>62</v>
      </c>
      <c r="F28" s="26" t="s">
        <v>15</v>
      </c>
      <c r="G28" s="121">
        <v>46017</v>
      </c>
      <c r="H28" s="81">
        <v>1</v>
      </c>
      <c r="I28" s="26" t="s">
        <v>16</v>
      </c>
      <c r="J28" s="77"/>
      <c r="K28" s="29" t="s">
        <v>73</v>
      </c>
    </row>
    <row r="29" spans="1:11" ht="45.75" customHeight="1">
      <c r="A29" s="26">
        <v>28</v>
      </c>
      <c r="B29" s="32" t="s">
        <v>70</v>
      </c>
      <c r="C29" s="28" t="s">
        <v>74</v>
      </c>
      <c r="D29" s="124"/>
      <c r="E29" s="79" t="s">
        <v>57</v>
      </c>
      <c r="F29" s="26" t="s">
        <v>15</v>
      </c>
      <c r="G29" s="121">
        <v>45999</v>
      </c>
      <c r="H29" s="81">
        <v>1</v>
      </c>
      <c r="I29" s="26" t="s">
        <v>16</v>
      </c>
      <c r="J29" s="75"/>
      <c r="K29" s="34" t="s">
        <v>75</v>
      </c>
    </row>
    <row r="30" spans="1:11" ht="30.75">
      <c r="A30" s="26">
        <v>29</v>
      </c>
      <c r="B30" s="32" t="s">
        <v>70</v>
      </c>
      <c r="C30" s="28" t="s">
        <v>76</v>
      </c>
      <c r="D30" s="124"/>
      <c r="E30" s="79" t="s">
        <v>57</v>
      </c>
      <c r="F30" s="26" t="s">
        <v>15</v>
      </c>
      <c r="G30" s="121">
        <v>45995</v>
      </c>
      <c r="H30" s="81">
        <v>1</v>
      </c>
      <c r="I30" s="26" t="s">
        <v>16</v>
      </c>
      <c r="J30" s="75"/>
      <c r="K30" s="35" t="s">
        <v>77</v>
      </c>
    </row>
    <row r="31" spans="1:11" ht="30.75">
      <c r="A31" s="26">
        <v>30</v>
      </c>
      <c r="B31" s="32" t="s">
        <v>70</v>
      </c>
      <c r="C31" s="33" t="s">
        <v>78</v>
      </c>
      <c r="D31" s="125"/>
      <c r="E31" s="29"/>
      <c r="F31" s="69"/>
      <c r="G31" s="69"/>
      <c r="H31" s="29"/>
      <c r="I31" s="91"/>
      <c r="J31" s="29"/>
      <c r="K31" s="29" t="s">
        <v>79</v>
      </c>
    </row>
    <row r="32" spans="1:11" ht="30.75">
      <c r="A32" s="26">
        <v>31</v>
      </c>
      <c r="B32" s="32" t="s">
        <v>70</v>
      </c>
      <c r="C32" s="28" t="s">
        <v>80</v>
      </c>
      <c r="D32" s="124"/>
      <c r="E32" s="79" t="s">
        <v>57</v>
      </c>
      <c r="F32" s="26" t="s">
        <v>15</v>
      </c>
      <c r="G32" s="121">
        <v>45995</v>
      </c>
      <c r="H32" s="81">
        <v>1</v>
      </c>
      <c r="I32" s="26" t="s">
        <v>16</v>
      </c>
      <c r="J32" s="75"/>
      <c r="K32" s="29"/>
    </row>
    <row r="33" spans="1:11" ht="30.75">
      <c r="A33" s="26">
        <v>32</v>
      </c>
      <c r="B33" s="32" t="s">
        <v>70</v>
      </c>
      <c r="C33" s="28" t="s">
        <v>81</v>
      </c>
      <c r="D33" s="124"/>
      <c r="E33" s="79" t="s">
        <v>57</v>
      </c>
      <c r="F33" s="26" t="s">
        <v>15</v>
      </c>
      <c r="G33" s="121">
        <v>45999</v>
      </c>
      <c r="H33" s="81">
        <v>1</v>
      </c>
      <c r="I33" s="26" t="s">
        <v>16</v>
      </c>
      <c r="J33" s="75"/>
      <c r="K33" s="29"/>
    </row>
    <row r="34" spans="1:11" ht="30.75">
      <c r="A34" s="26">
        <v>33</v>
      </c>
      <c r="B34" s="32" t="s">
        <v>70</v>
      </c>
      <c r="C34" s="28" t="s">
        <v>82</v>
      </c>
      <c r="D34" s="126"/>
      <c r="E34" s="79" t="s">
        <v>57</v>
      </c>
      <c r="F34" s="26" t="s">
        <v>15</v>
      </c>
      <c r="G34" s="121">
        <v>45999</v>
      </c>
      <c r="H34" s="81">
        <v>1</v>
      </c>
      <c r="I34" s="26" t="s">
        <v>16</v>
      </c>
      <c r="J34" s="75"/>
      <c r="K34" s="29"/>
    </row>
    <row r="35" spans="1:11" ht="60.75">
      <c r="A35" s="26">
        <v>34</v>
      </c>
      <c r="B35" s="27" t="s">
        <v>83</v>
      </c>
      <c r="C35" s="31" t="s">
        <v>84</v>
      </c>
      <c r="D35" s="32" t="s">
        <v>85</v>
      </c>
      <c r="E35" s="29" t="s">
        <v>31</v>
      </c>
      <c r="F35" s="69" t="s">
        <v>47</v>
      </c>
      <c r="G35" s="121">
        <v>46037</v>
      </c>
      <c r="H35" s="29"/>
      <c r="I35" s="91" t="s">
        <v>48</v>
      </c>
      <c r="J35" s="29"/>
      <c r="K35" s="29"/>
    </row>
    <row r="36" spans="1:11">
      <c r="A36" s="26">
        <v>35</v>
      </c>
      <c r="B36" s="27" t="s">
        <v>83</v>
      </c>
      <c r="C36" s="31" t="s">
        <v>86</v>
      </c>
      <c r="D36" s="27"/>
      <c r="E36" s="29" t="s">
        <v>31</v>
      </c>
      <c r="F36" s="69" t="s">
        <v>47</v>
      </c>
      <c r="G36" s="121">
        <v>46037</v>
      </c>
      <c r="H36" s="29"/>
      <c r="I36" s="91" t="s">
        <v>48</v>
      </c>
      <c r="J36" s="29"/>
      <c r="K36" s="29"/>
    </row>
    <row r="37" spans="1:11">
      <c r="A37" s="26">
        <v>36</v>
      </c>
      <c r="B37" s="27" t="s">
        <v>87</v>
      </c>
      <c r="C37" s="31" t="s">
        <v>88</v>
      </c>
      <c r="D37" s="29"/>
      <c r="E37" s="29" t="s">
        <v>31</v>
      </c>
      <c r="F37" s="69" t="s">
        <v>47</v>
      </c>
      <c r="G37" s="121">
        <v>46030</v>
      </c>
      <c r="H37" s="29"/>
      <c r="I37" s="91" t="s">
        <v>22</v>
      </c>
      <c r="J37" s="29"/>
      <c r="K37" s="29" t="s">
        <v>89</v>
      </c>
    </row>
    <row r="38" spans="1:11">
      <c r="A38" s="26">
        <v>37</v>
      </c>
      <c r="B38" s="27" t="s">
        <v>83</v>
      </c>
      <c r="C38" s="31" t="s">
        <v>90</v>
      </c>
      <c r="D38" s="29"/>
      <c r="E38" s="29" t="s">
        <v>31</v>
      </c>
      <c r="F38" s="69" t="s">
        <v>47</v>
      </c>
      <c r="G38" s="121">
        <v>46035</v>
      </c>
      <c r="H38" s="29"/>
      <c r="I38" s="91" t="s">
        <v>48</v>
      </c>
      <c r="J38" s="29"/>
      <c r="K38" s="29" t="s">
        <v>91</v>
      </c>
    </row>
    <row r="39" spans="1:11">
      <c r="A39" s="26">
        <v>38</v>
      </c>
      <c r="B39" s="27" t="s">
        <v>83</v>
      </c>
      <c r="C39" s="31" t="s">
        <v>92</v>
      </c>
      <c r="D39" s="29"/>
      <c r="E39" s="29" t="s">
        <v>31</v>
      </c>
      <c r="F39" s="69" t="s">
        <v>47</v>
      </c>
      <c r="G39" s="121">
        <v>46036</v>
      </c>
      <c r="H39" s="29"/>
      <c r="I39" s="91" t="s">
        <v>48</v>
      </c>
      <c r="J39" s="29"/>
      <c r="K39" s="29"/>
    </row>
    <row r="40" spans="1:11">
      <c r="A40" s="26">
        <v>39</v>
      </c>
      <c r="B40" s="27" t="s">
        <v>83</v>
      </c>
      <c r="C40" s="31" t="s">
        <v>93</v>
      </c>
      <c r="D40" s="29"/>
      <c r="E40" s="29" t="s">
        <v>31</v>
      </c>
      <c r="F40" s="69" t="s">
        <v>47</v>
      </c>
      <c r="G40" s="121">
        <v>46036</v>
      </c>
      <c r="H40" s="29"/>
      <c r="I40" s="91" t="s">
        <v>48</v>
      </c>
      <c r="J40" s="29"/>
      <c r="K40" s="29" t="s">
        <v>94</v>
      </c>
    </row>
  </sheetData>
  <autoFilter ref="A1:K40" xr:uid="{4C4F0CAA-A752-45C9-9691-1B0E445F8405}"/>
  <mergeCells count="3">
    <mergeCell ref="D12:D16"/>
    <mergeCell ref="D28:D34"/>
    <mergeCell ref="D17:D27"/>
  </mergeCells>
  <conditionalFormatting sqref="I2:I40">
    <cfRule type="cellIs" dxfId="17" priority="9" operator="equal">
      <formula>"Rework"</formula>
    </cfRule>
    <cfRule type="cellIs" dxfId="16" priority="10" operator="equal">
      <formula>"In Review"</formula>
    </cfRule>
    <cfRule type="cellIs" dxfId="15" priority="11" operator="equal">
      <formula>"In Progress"</formula>
    </cfRule>
    <cfRule type="cellIs" dxfId="14" priority="12" operator="equal">
      <formula>"Completed"</formula>
    </cfRule>
  </conditionalFormatting>
  <conditionalFormatting sqref="I1:I1048576">
    <cfRule type="cellIs" dxfId="13" priority="8" operator="equal">
      <formula>"Not Started"</formula>
    </cfRule>
  </conditionalFormatting>
  <conditionalFormatting sqref="I1:I1048576">
    <cfRule type="cellIs" dxfId="12" priority="7" operator="equal">
      <formula>"Comparing"</formula>
    </cfRule>
  </conditionalFormatting>
  <conditionalFormatting sqref="J19">
    <cfRule type="cellIs" dxfId="11" priority="3" operator="equal">
      <formula>"Rework"</formula>
    </cfRule>
    <cfRule type="cellIs" dxfId="10" priority="4" operator="equal">
      <formula>"In Review"</formula>
    </cfRule>
    <cfRule type="cellIs" dxfId="9" priority="5" operator="equal">
      <formula>"In Progress"</formula>
    </cfRule>
    <cfRule type="cellIs" dxfId="8" priority="6" operator="equal">
      <formula>"Completed"</formula>
    </cfRule>
  </conditionalFormatting>
  <conditionalFormatting sqref="J19">
    <cfRule type="cellIs" dxfId="7" priority="2" operator="equal">
      <formula>"Not Started"</formula>
    </cfRule>
  </conditionalFormatting>
  <conditionalFormatting sqref="J19">
    <cfRule type="cellIs" dxfId="6" priority="1" operator="equal">
      <formula>"Comparing"</formula>
    </cfRule>
  </conditionalFormatting>
  <dataValidations count="2">
    <dataValidation type="list" allowBlank="1" showInputMessage="1" showErrorMessage="1" sqref="I1 I4 I9 I12:I16 I31 I35:I1048576" xr:uid="{D2C3E7DC-ADBE-4AAC-B030-EEF7E281A338}">
      <formula1>"In Progress, In Review, Complete, Rework, Comparing, Not Started"</formula1>
    </dataValidation>
    <dataValidation type="list" allowBlank="1" showInputMessage="1" showErrorMessage="1" sqref="I2:I3 I5:I8 I10:I11 I17:I30 I32:I34" xr:uid="{131305EF-BC05-4847-AC2D-E3A12C0B6A6E}">
      <formula1>"In Progress, In Review, Completed, Rework, Comparing, Not Started"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BFAE-44B5-47C9-85A7-5EC4587C0DD4}">
  <dimension ref="A1:L56"/>
  <sheetViews>
    <sheetView tabSelected="1" zoomScale="85" zoomScaleNormal="85" workbookViewId="0">
      <pane ySplit="1" topLeftCell="J2" activePane="bottomLeft" state="frozen"/>
      <selection pane="bottomLeft" activeCell="L2" sqref="L2"/>
    </sheetView>
  </sheetViews>
  <sheetFormatPr defaultColWidth="9.140625" defaultRowHeight="15"/>
  <cols>
    <col min="1" max="1" width="6.140625" style="2" bestFit="1" customWidth="1"/>
    <col min="2" max="2" width="14.140625" style="2" customWidth="1"/>
    <col min="3" max="3" width="27.42578125" style="2" customWidth="1"/>
    <col min="4" max="4" width="45.85546875" style="36" bestFit="1" customWidth="1"/>
    <col min="5" max="5" width="20.5703125" style="83" bestFit="1" customWidth="1"/>
    <col min="6" max="6" width="8" style="21" bestFit="1" customWidth="1"/>
    <col min="7" max="7" width="10.28515625" style="83" bestFit="1" customWidth="1"/>
    <col min="8" max="8" width="13.28515625" style="21" bestFit="1" customWidth="1"/>
    <col min="9" max="9" width="10.7109375" style="21" bestFit="1" customWidth="1"/>
    <col min="10" max="10" width="11.85546875" style="21" customWidth="1"/>
    <col min="11" max="11" width="47.7109375" style="2" bestFit="1" customWidth="1"/>
    <col min="12" max="12" width="53.5703125" style="5" customWidth="1"/>
    <col min="13" max="16384" width="9.140625" style="2"/>
  </cols>
  <sheetData>
    <row r="1" spans="1:12" ht="32.25">
      <c r="A1" s="50" t="s">
        <v>0</v>
      </c>
      <c r="B1" s="51" t="s">
        <v>1</v>
      </c>
      <c r="C1" s="52" t="s">
        <v>95</v>
      </c>
      <c r="D1" s="52" t="s">
        <v>3</v>
      </c>
      <c r="E1" s="52" t="s">
        <v>4</v>
      </c>
      <c r="F1" s="52" t="s">
        <v>96</v>
      </c>
      <c r="G1" s="71" t="s">
        <v>97</v>
      </c>
      <c r="H1" s="56" t="s">
        <v>7</v>
      </c>
      <c r="I1" s="52" t="s">
        <v>8</v>
      </c>
      <c r="J1" s="56" t="s">
        <v>9</v>
      </c>
      <c r="K1" s="147" t="s">
        <v>10</v>
      </c>
      <c r="L1" s="52" t="s">
        <v>98</v>
      </c>
    </row>
    <row r="2" spans="1:12" ht="30.75">
      <c r="A2" s="67">
        <v>1</v>
      </c>
      <c r="B2" s="67" t="s">
        <v>11</v>
      </c>
      <c r="C2" s="68" t="s">
        <v>99</v>
      </c>
      <c r="D2" s="30" t="s">
        <v>100</v>
      </c>
      <c r="E2" s="90" t="s">
        <v>101</v>
      </c>
      <c r="F2" s="82" t="s">
        <v>15</v>
      </c>
      <c r="G2" s="84">
        <v>45974</v>
      </c>
      <c r="H2" s="85">
        <v>1</v>
      </c>
      <c r="I2" s="86" t="s">
        <v>16</v>
      </c>
      <c r="J2" s="87" t="s">
        <v>23</v>
      </c>
      <c r="K2" s="148" t="s">
        <v>102</v>
      </c>
      <c r="L2" s="152" t="s">
        <v>103</v>
      </c>
    </row>
    <row r="3" spans="1:12" ht="60.75">
      <c r="A3" s="67">
        <v>2</v>
      </c>
      <c r="B3" s="67" t="s">
        <v>11</v>
      </c>
      <c r="C3" s="68" t="s">
        <v>104</v>
      </c>
      <c r="D3" s="30" t="s">
        <v>105</v>
      </c>
      <c r="E3" s="90" t="s">
        <v>101</v>
      </c>
      <c r="F3" s="82" t="s">
        <v>15</v>
      </c>
      <c r="G3" s="84">
        <v>45971</v>
      </c>
      <c r="H3" s="85">
        <v>1</v>
      </c>
      <c r="I3" s="82" t="s">
        <v>16</v>
      </c>
      <c r="J3" s="88" t="s">
        <v>106</v>
      </c>
      <c r="K3" s="149" t="s">
        <v>107</v>
      </c>
      <c r="L3" s="152" t="s">
        <v>108</v>
      </c>
    </row>
    <row r="4" spans="1:12" ht="30.75">
      <c r="A4" s="67">
        <v>3</v>
      </c>
      <c r="B4" s="67" t="s">
        <v>11</v>
      </c>
      <c r="C4" s="68" t="s">
        <v>109</v>
      </c>
      <c r="D4" s="30" t="s">
        <v>110</v>
      </c>
      <c r="E4" s="90" t="s">
        <v>101</v>
      </c>
      <c r="F4" s="82" t="s">
        <v>15</v>
      </c>
      <c r="G4" s="84">
        <v>45974</v>
      </c>
      <c r="H4" s="85">
        <v>1</v>
      </c>
      <c r="I4" s="82" t="s">
        <v>16</v>
      </c>
      <c r="J4" s="87" t="s">
        <v>23</v>
      </c>
      <c r="K4" s="148" t="s">
        <v>102</v>
      </c>
      <c r="L4" s="152" t="s">
        <v>111</v>
      </c>
    </row>
    <row r="5" spans="1:12" ht="45.75">
      <c r="A5" s="67">
        <v>4</v>
      </c>
      <c r="B5" s="67" t="s">
        <v>11</v>
      </c>
      <c r="C5" s="68" t="s">
        <v>112</v>
      </c>
      <c r="D5" s="30" t="s">
        <v>113</v>
      </c>
      <c r="E5" s="90" t="s">
        <v>101</v>
      </c>
      <c r="F5" s="82" t="s">
        <v>15</v>
      </c>
      <c r="G5" s="84">
        <v>45989</v>
      </c>
      <c r="H5" s="85">
        <v>1</v>
      </c>
      <c r="I5" s="82" t="s">
        <v>16</v>
      </c>
      <c r="J5" s="88" t="s">
        <v>106</v>
      </c>
      <c r="K5" s="149" t="s">
        <v>114</v>
      </c>
      <c r="L5" s="152" t="s">
        <v>115</v>
      </c>
    </row>
    <row r="6" spans="1:12" ht="45.75">
      <c r="A6" s="67">
        <v>5</v>
      </c>
      <c r="B6" s="67" t="s">
        <v>11</v>
      </c>
      <c r="C6" s="68" t="s">
        <v>116</v>
      </c>
      <c r="D6" s="30" t="s">
        <v>117</v>
      </c>
      <c r="E6" s="90" t="s">
        <v>101</v>
      </c>
      <c r="F6" s="82" t="s">
        <v>15</v>
      </c>
      <c r="G6" s="84">
        <v>45995</v>
      </c>
      <c r="H6" s="85">
        <v>1</v>
      </c>
      <c r="I6" s="82" t="s">
        <v>16</v>
      </c>
      <c r="J6" s="88" t="s">
        <v>106</v>
      </c>
      <c r="K6" s="149" t="s">
        <v>118</v>
      </c>
      <c r="L6" s="152" t="s">
        <v>119</v>
      </c>
    </row>
    <row r="7" spans="1:12" ht="30.75">
      <c r="A7" s="19">
        <v>6</v>
      </c>
      <c r="B7" s="19" t="s">
        <v>11</v>
      </c>
      <c r="C7" s="20" t="s">
        <v>120</v>
      </c>
      <c r="D7" s="37" t="s">
        <v>121</v>
      </c>
      <c r="E7" s="1" t="s">
        <v>122</v>
      </c>
      <c r="F7" s="82" t="s">
        <v>47</v>
      </c>
      <c r="G7" s="84">
        <v>46034</v>
      </c>
      <c r="H7" s="85">
        <v>1</v>
      </c>
      <c r="I7" s="89" t="s">
        <v>22</v>
      </c>
      <c r="J7" s="80"/>
      <c r="K7" s="149" t="s">
        <v>123</v>
      </c>
      <c r="L7" s="152" t="s">
        <v>124</v>
      </c>
    </row>
    <row r="8" spans="1:12" ht="30.75">
      <c r="A8" s="3">
        <v>7</v>
      </c>
      <c r="B8" s="3" t="s">
        <v>11</v>
      </c>
      <c r="C8" s="4" t="s">
        <v>125</v>
      </c>
      <c r="D8" s="38" t="s">
        <v>126</v>
      </c>
      <c r="E8" s="5" t="s">
        <v>122</v>
      </c>
      <c r="F8" s="112" t="s">
        <v>42</v>
      </c>
      <c r="G8" s="84">
        <v>45662</v>
      </c>
      <c r="H8" s="85">
        <v>1</v>
      </c>
      <c r="I8" s="89" t="s">
        <v>16</v>
      </c>
      <c r="J8" s="80"/>
      <c r="K8" s="148"/>
      <c r="L8" s="152" t="s">
        <v>127</v>
      </c>
    </row>
    <row r="9" spans="1:12" ht="30.75">
      <c r="A9" s="7">
        <v>8</v>
      </c>
      <c r="B9" s="8" t="s">
        <v>83</v>
      </c>
      <c r="C9" s="8" t="s">
        <v>128</v>
      </c>
      <c r="D9" s="127" t="s">
        <v>129</v>
      </c>
      <c r="E9" s="90" t="s">
        <v>101</v>
      </c>
      <c r="F9" s="82" t="s">
        <v>47</v>
      </c>
      <c r="G9" s="84">
        <v>46034</v>
      </c>
      <c r="H9" s="85">
        <v>1</v>
      </c>
      <c r="I9" s="90" t="s">
        <v>22</v>
      </c>
      <c r="J9" s="80"/>
      <c r="K9" s="148"/>
      <c r="L9" s="152" t="s">
        <v>130</v>
      </c>
    </row>
    <row r="10" spans="1:12" ht="30.75">
      <c r="A10" s="7">
        <v>9</v>
      </c>
      <c r="B10" s="7" t="s">
        <v>83</v>
      </c>
      <c r="C10" s="8" t="s">
        <v>131</v>
      </c>
      <c r="D10" s="127"/>
      <c r="E10" s="90" t="s">
        <v>101</v>
      </c>
      <c r="F10" s="82" t="s">
        <v>47</v>
      </c>
      <c r="G10" s="84">
        <v>46034</v>
      </c>
      <c r="H10" s="85">
        <v>1</v>
      </c>
      <c r="I10" s="90" t="s">
        <v>22</v>
      </c>
      <c r="J10" s="80"/>
      <c r="K10" s="148"/>
      <c r="L10" s="152" t="s">
        <v>132</v>
      </c>
    </row>
    <row r="11" spans="1:12" ht="30.75">
      <c r="A11" s="3">
        <v>10</v>
      </c>
      <c r="B11" s="3" t="s">
        <v>83</v>
      </c>
      <c r="C11" s="6" t="s">
        <v>133</v>
      </c>
      <c r="D11" s="128" t="s">
        <v>134</v>
      </c>
      <c r="E11" s="90" t="s">
        <v>101</v>
      </c>
      <c r="F11" s="82" t="s">
        <v>47</v>
      </c>
      <c r="G11" s="84">
        <v>46034</v>
      </c>
      <c r="H11" s="85">
        <v>1</v>
      </c>
      <c r="I11" s="90" t="s">
        <v>22</v>
      </c>
      <c r="J11" s="80"/>
      <c r="K11" s="148"/>
      <c r="L11" s="152" t="s">
        <v>135</v>
      </c>
    </row>
    <row r="12" spans="1:12" ht="30.75">
      <c r="A12" s="3">
        <v>11</v>
      </c>
      <c r="B12" s="3" t="s">
        <v>83</v>
      </c>
      <c r="C12" s="6" t="s">
        <v>136</v>
      </c>
      <c r="D12" s="128"/>
      <c r="E12" s="90" t="s">
        <v>101</v>
      </c>
      <c r="F12" s="82" t="s">
        <v>47</v>
      </c>
      <c r="G12" s="84">
        <v>46034</v>
      </c>
      <c r="H12" s="85">
        <v>1</v>
      </c>
      <c r="I12" s="90" t="s">
        <v>22</v>
      </c>
      <c r="J12" s="80"/>
      <c r="K12" s="148"/>
      <c r="L12" s="152" t="s">
        <v>137</v>
      </c>
    </row>
    <row r="13" spans="1:12" ht="30.75">
      <c r="A13" s="7">
        <v>12</v>
      </c>
      <c r="B13" s="7" t="s">
        <v>83</v>
      </c>
      <c r="C13" s="8" t="s">
        <v>138</v>
      </c>
      <c r="D13" s="127" t="s">
        <v>139</v>
      </c>
      <c r="E13" s="90" t="s">
        <v>101</v>
      </c>
      <c r="F13" s="82" t="s">
        <v>47</v>
      </c>
      <c r="G13" s="84">
        <v>46035</v>
      </c>
      <c r="H13" s="85">
        <v>1</v>
      </c>
      <c r="I13" s="90" t="s">
        <v>22</v>
      </c>
      <c r="J13" s="80"/>
      <c r="K13" s="148"/>
      <c r="L13" s="152" t="s">
        <v>140</v>
      </c>
    </row>
    <row r="14" spans="1:12" ht="30.75">
      <c r="A14" s="7">
        <v>13</v>
      </c>
      <c r="B14" s="7" t="s">
        <v>83</v>
      </c>
      <c r="C14" s="8" t="s">
        <v>141</v>
      </c>
      <c r="D14" s="127"/>
      <c r="E14" s="90" t="s">
        <v>101</v>
      </c>
      <c r="F14" s="82" t="s">
        <v>47</v>
      </c>
      <c r="G14" s="84">
        <v>46035</v>
      </c>
      <c r="H14" s="85">
        <v>1</v>
      </c>
      <c r="I14" s="90" t="s">
        <v>22</v>
      </c>
      <c r="J14" s="80"/>
      <c r="K14" s="148"/>
      <c r="L14" s="152" t="s">
        <v>142</v>
      </c>
    </row>
    <row r="15" spans="1:12" ht="30.75">
      <c r="A15" s="9">
        <v>14</v>
      </c>
      <c r="B15" s="9" t="s">
        <v>83</v>
      </c>
      <c r="C15" s="10" t="s">
        <v>143</v>
      </c>
      <c r="D15" s="129" t="s">
        <v>144</v>
      </c>
      <c r="E15" s="90" t="s">
        <v>101</v>
      </c>
      <c r="F15" s="82" t="s">
        <v>47</v>
      </c>
      <c r="G15" s="84">
        <v>46035</v>
      </c>
      <c r="H15" s="85">
        <v>1</v>
      </c>
      <c r="I15" s="90" t="s">
        <v>22</v>
      </c>
      <c r="J15" s="80" t="s">
        <v>23</v>
      </c>
      <c r="K15" s="148"/>
      <c r="L15" s="152" t="s">
        <v>145</v>
      </c>
    </row>
    <row r="16" spans="1:12" ht="45.75">
      <c r="A16" s="9">
        <v>15</v>
      </c>
      <c r="B16" s="9" t="s">
        <v>83</v>
      </c>
      <c r="C16" s="10" t="s">
        <v>146</v>
      </c>
      <c r="D16" s="129"/>
      <c r="E16" s="90" t="s">
        <v>101</v>
      </c>
      <c r="F16" s="82" t="s">
        <v>47</v>
      </c>
      <c r="G16" s="84">
        <v>46035</v>
      </c>
      <c r="H16" s="85">
        <v>1</v>
      </c>
      <c r="I16" s="90" t="s">
        <v>22</v>
      </c>
      <c r="J16" s="80" t="s">
        <v>23</v>
      </c>
      <c r="K16" s="148"/>
      <c r="L16" s="152" t="s">
        <v>147</v>
      </c>
    </row>
    <row r="17" spans="1:12" ht="30.75">
      <c r="A17" s="9">
        <v>16</v>
      </c>
      <c r="B17" s="9" t="s">
        <v>83</v>
      </c>
      <c r="C17" s="10" t="s">
        <v>148</v>
      </c>
      <c r="D17" s="129"/>
      <c r="E17" s="90" t="s">
        <v>101</v>
      </c>
      <c r="F17" s="82" t="s">
        <v>47</v>
      </c>
      <c r="G17" s="84">
        <v>46035</v>
      </c>
      <c r="H17" s="85">
        <v>1</v>
      </c>
      <c r="I17" s="90" t="s">
        <v>22</v>
      </c>
      <c r="J17" s="80" t="s">
        <v>23</v>
      </c>
      <c r="K17" s="148"/>
      <c r="L17" s="152" t="s">
        <v>149</v>
      </c>
    </row>
    <row r="18" spans="1:12" ht="45.75">
      <c r="A18" s="9">
        <v>17</v>
      </c>
      <c r="B18" s="9" t="s">
        <v>83</v>
      </c>
      <c r="C18" s="10" t="s">
        <v>150</v>
      </c>
      <c r="D18" s="129"/>
      <c r="E18" s="90" t="s">
        <v>101</v>
      </c>
      <c r="F18" s="82" t="s">
        <v>47</v>
      </c>
      <c r="G18" s="84">
        <v>46035</v>
      </c>
      <c r="H18" s="85">
        <v>1</v>
      </c>
      <c r="I18" s="90" t="s">
        <v>22</v>
      </c>
      <c r="J18" s="80" t="s">
        <v>23</v>
      </c>
      <c r="K18" s="148"/>
      <c r="L18" s="152" t="s">
        <v>151</v>
      </c>
    </row>
    <row r="19" spans="1:12" ht="30.75">
      <c r="A19" s="9">
        <v>18</v>
      </c>
      <c r="B19" s="9" t="s">
        <v>83</v>
      </c>
      <c r="C19" s="10" t="s">
        <v>152</v>
      </c>
      <c r="D19" s="129"/>
      <c r="E19" s="90" t="s">
        <v>101</v>
      </c>
      <c r="F19" s="82" t="s">
        <v>47</v>
      </c>
      <c r="G19" s="84">
        <v>46035</v>
      </c>
      <c r="H19" s="85">
        <v>1</v>
      </c>
      <c r="I19" s="90" t="s">
        <v>22</v>
      </c>
      <c r="J19" s="80" t="s">
        <v>23</v>
      </c>
      <c r="K19" s="148"/>
      <c r="L19" s="152" t="s">
        <v>153</v>
      </c>
    </row>
    <row r="20" spans="1:12" ht="30.75">
      <c r="A20" s="9">
        <v>19</v>
      </c>
      <c r="B20" s="9" t="s">
        <v>83</v>
      </c>
      <c r="C20" s="10" t="s">
        <v>154</v>
      </c>
      <c r="D20" s="129"/>
      <c r="E20" s="90" t="s">
        <v>101</v>
      </c>
      <c r="F20" s="82" t="s">
        <v>47</v>
      </c>
      <c r="G20" s="84">
        <v>46035</v>
      </c>
      <c r="H20" s="85">
        <v>1</v>
      </c>
      <c r="I20" s="90" t="s">
        <v>22</v>
      </c>
      <c r="J20" s="80" t="s">
        <v>23</v>
      </c>
      <c r="K20" s="148"/>
      <c r="L20" s="152" t="s">
        <v>155</v>
      </c>
    </row>
    <row r="21" spans="1:12" ht="30.75">
      <c r="A21" s="9">
        <v>20</v>
      </c>
      <c r="B21" s="9" t="s">
        <v>83</v>
      </c>
      <c r="C21" s="10" t="s">
        <v>156</v>
      </c>
      <c r="D21" s="129"/>
      <c r="E21" s="90" t="s">
        <v>101</v>
      </c>
      <c r="F21" s="82" t="s">
        <v>47</v>
      </c>
      <c r="G21" s="84">
        <v>46035</v>
      </c>
      <c r="H21" s="85">
        <v>1</v>
      </c>
      <c r="I21" s="90" t="s">
        <v>22</v>
      </c>
      <c r="J21" s="80" t="s">
        <v>23</v>
      </c>
      <c r="K21" s="148"/>
      <c r="L21" s="152" t="s">
        <v>157</v>
      </c>
    </row>
    <row r="22" spans="1:12" ht="30.75">
      <c r="A22" s="11">
        <v>21</v>
      </c>
      <c r="B22" s="11" t="s">
        <v>83</v>
      </c>
      <c r="C22" s="12" t="s">
        <v>158</v>
      </c>
      <c r="D22" s="130" t="s">
        <v>159</v>
      </c>
      <c r="E22" s="90" t="s">
        <v>101</v>
      </c>
      <c r="F22" s="82" t="s">
        <v>42</v>
      </c>
      <c r="G22" s="84">
        <v>45662</v>
      </c>
      <c r="H22" s="85">
        <v>1</v>
      </c>
      <c r="I22" s="89" t="s">
        <v>16</v>
      </c>
      <c r="J22" s="80"/>
      <c r="K22" s="148"/>
      <c r="L22" s="152" t="s">
        <v>160</v>
      </c>
    </row>
    <row r="23" spans="1:12" ht="30.75">
      <c r="A23" s="11">
        <v>22</v>
      </c>
      <c r="B23" s="11" t="s">
        <v>83</v>
      </c>
      <c r="C23" s="12" t="s">
        <v>161</v>
      </c>
      <c r="D23" s="130"/>
      <c r="E23" s="90" t="s">
        <v>101</v>
      </c>
      <c r="F23" s="82" t="s">
        <v>42</v>
      </c>
      <c r="G23" s="84">
        <v>45663</v>
      </c>
      <c r="H23" s="85">
        <v>1</v>
      </c>
      <c r="I23" s="89" t="s">
        <v>16</v>
      </c>
      <c r="J23" s="80"/>
      <c r="K23" s="148"/>
      <c r="L23" s="152" t="s">
        <v>162</v>
      </c>
    </row>
    <row r="24" spans="1:12" ht="30.75">
      <c r="A24" s="11">
        <v>23</v>
      </c>
      <c r="B24" s="11" t="s">
        <v>83</v>
      </c>
      <c r="C24" s="12" t="s">
        <v>163</v>
      </c>
      <c r="D24" s="130"/>
      <c r="E24" s="90" t="s">
        <v>101</v>
      </c>
      <c r="F24" s="82" t="s">
        <v>42</v>
      </c>
      <c r="G24" s="84">
        <v>45663</v>
      </c>
      <c r="H24" s="85">
        <v>1</v>
      </c>
      <c r="I24" s="89" t="s">
        <v>16</v>
      </c>
      <c r="J24" s="80"/>
      <c r="K24" s="148"/>
      <c r="L24" s="152" t="s">
        <v>164</v>
      </c>
    </row>
    <row r="25" spans="1:12" ht="30.75">
      <c r="A25" s="13">
        <v>24</v>
      </c>
      <c r="B25" s="13" t="s">
        <v>83</v>
      </c>
      <c r="C25" s="14" t="s">
        <v>165</v>
      </c>
      <c r="D25" s="25" t="s">
        <v>166</v>
      </c>
      <c r="E25" s="90" t="s">
        <v>101</v>
      </c>
      <c r="F25" s="82" t="s">
        <v>42</v>
      </c>
      <c r="G25" s="84">
        <v>45663</v>
      </c>
      <c r="H25" s="85">
        <v>1</v>
      </c>
      <c r="I25" s="89" t="s">
        <v>16</v>
      </c>
      <c r="J25" s="80"/>
      <c r="K25" s="148"/>
      <c r="L25" s="152" t="s">
        <v>167</v>
      </c>
    </row>
    <row r="26" spans="1:12" ht="30.75">
      <c r="A26" s="3">
        <v>25</v>
      </c>
      <c r="B26" s="3" t="s">
        <v>168</v>
      </c>
      <c r="C26" s="6" t="s">
        <v>169</v>
      </c>
      <c r="D26" s="38" t="s">
        <v>170</v>
      </c>
      <c r="E26" s="90" t="s">
        <v>101</v>
      </c>
      <c r="F26" s="82" t="s">
        <v>47</v>
      </c>
      <c r="G26" s="84">
        <v>46036</v>
      </c>
      <c r="H26" s="85">
        <v>1</v>
      </c>
      <c r="I26" s="90" t="s">
        <v>22</v>
      </c>
      <c r="J26" s="80"/>
      <c r="K26" s="148"/>
      <c r="L26" s="152" t="s">
        <v>171</v>
      </c>
    </row>
    <row r="27" spans="1:12" ht="30.75">
      <c r="A27" s="3">
        <v>26</v>
      </c>
      <c r="B27" s="3" t="s">
        <v>168</v>
      </c>
      <c r="C27" s="6" t="s">
        <v>172</v>
      </c>
      <c r="D27" s="15" t="s">
        <v>173</v>
      </c>
      <c r="E27" s="90" t="s">
        <v>101</v>
      </c>
      <c r="F27" s="82" t="s">
        <v>15</v>
      </c>
      <c r="G27" s="84">
        <v>46017</v>
      </c>
      <c r="H27" s="85">
        <v>1</v>
      </c>
      <c r="I27" s="82" t="s">
        <v>16</v>
      </c>
      <c r="J27" s="88" t="s">
        <v>106</v>
      </c>
      <c r="K27" s="149" t="s">
        <v>174</v>
      </c>
      <c r="L27" s="152" t="s">
        <v>175</v>
      </c>
    </row>
    <row r="28" spans="1:12" ht="45.75">
      <c r="A28" s="67">
        <v>27</v>
      </c>
      <c r="B28" s="67" t="s">
        <v>176</v>
      </c>
      <c r="C28" s="68" t="s">
        <v>177</v>
      </c>
      <c r="D28" s="30" t="s">
        <v>178</v>
      </c>
      <c r="E28" s="90" t="s">
        <v>101</v>
      </c>
      <c r="F28" s="82" t="s">
        <v>15</v>
      </c>
      <c r="G28" s="84">
        <v>46009</v>
      </c>
      <c r="H28" s="85">
        <v>1</v>
      </c>
      <c r="I28" s="82" t="s">
        <v>16</v>
      </c>
      <c r="J28" s="88" t="s">
        <v>106</v>
      </c>
      <c r="K28" s="150" t="s">
        <v>179</v>
      </c>
      <c r="L28" s="152" t="s">
        <v>180</v>
      </c>
    </row>
    <row r="29" spans="1:12" ht="30.75">
      <c r="A29" s="67">
        <v>28</v>
      </c>
      <c r="B29" s="67" t="s">
        <v>176</v>
      </c>
      <c r="C29" s="68" t="s">
        <v>181</v>
      </c>
      <c r="D29" s="30" t="s">
        <v>182</v>
      </c>
      <c r="E29" s="90" t="s">
        <v>101</v>
      </c>
      <c r="F29" s="82" t="s">
        <v>15</v>
      </c>
      <c r="G29" s="84">
        <v>46002</v>
      </c>
      <c r="H29" s="85">
        <v>1</v>
      </c>
      <c r="I29" s="82" t="s">
        <v>16</v>
      </c>
      <c r="J29" s="88" t="s">
        <v>106</v>
      </c>
      <c r="K29" s="151" t="s">
        <v>183</v>
      </c>
      <c r="L29" s="152" t="s">
        <v>184</v>
      </c>
    </row>
    <row r="30" spans="1:12" ht="76.5">
      <c r="A30" s="16">
        <v>29</v>
      </c>
      <c r="B30" s="16" t="s">
        <v>176</v>
      </c>
      <c r="C30" s="17" t="s">
        <v>185</v>
      </c>
      <c r="D30" s="40" t="s">
        <v>186</v>
      </c>
      <c r="E30" s="90" t="s">
        <v>101</v>
      </c>
      <c r="F30" s="82" t="s">
        <v>15</v>
      </c>
      <c r="G30" s="84">
        <v>46002</v>
      </c>
      <c r="H30" s="85">
        <v>1</v>
      </c>
      <c r="I30" s="82" t="s">
        <v>16</v>
      </c>
      <c r="J30" s="88" t="s">
        <v>106</v>
      </c>
      <c r="K30" s="149" t="s">
        <v>187</v>
      </c>
      <c r="L30" s="152" t="s">
        <v>188</v>
      </c>
    </row>
    <row r="31" spans="1:12" ht="45.75">
      <c r="A31" s="16">
        <v>30</v>
      </c>
      <c r="B31" s="16" t="s">
        <v>176</v>
      </c>
      <c r="C31" s="17" t="s">
        <v>189</v>
      </c>
      <c r="D31" s="40" t="s">
        <v>190</v>
      </c>
      <c r="E31" s="90" t="s">
        <v>101</v>
      </c>
      <c r="F31" s="82" t="s">
        <v>42</v>
      </c>
      <c r="G31" s="84">
        <v>45664</v>
      </c>
      <c r="H31" s="85">
        <v>1</v>
      </c>
      <c r="I31" s="90" t="s">
        <v>16</v>
      </c>
      <c r="J31" s="80"/>
      <c r="K31" s="148"/>
      <c r="L31" s="152" t="s">
        <v>191</v>
      </c>
    </row>
    <row r="32" spans="1:12" ht="30.75">
      <c r="A32" s="16">
        <v>31</v>
      </c>
      <c r="B32" s="16" t="s">
        <v>176</v>
      </c>
      <c r="C32" s="17" t="s">
        <v>192</v>
      </c>
      <c r="D32" s="40" t="s">
        <v>193</v>
      </c>
      <c r="E32" s="90" t="s">
        <v>101</v>
      </c>
      <c r="F32" s="82" t="s">
        <v>42</v>
      </c>
      <c r="G32" s="84">
        <v>45664</v>
      </c>
      <c r="H32" s="85">
        <v>1</v>
      </c>
      <c r="I32" s="90" t="s">
        <v>16</v>
      </c>
      <c r="J32" s="80"/>
      <c r="K32" s="148"/>
      <c r="L32" s="152" t="s">
        <v>194</v>
      </c>
    </row>
    <row r="33" spans="1:12" ht="30.75">
      <c r="A33" s="16">
        <v>32</v>
      </c>
      <c r="B33" s="16" t="s">
        <v>176</v>
      </c>
      <c r="C33" s="17" t="s">
        <v>195</v>
      </c>
      <c r="D33" s="40" t="s">
        <v>196</v>
      </c>
      <c r="E33" s="90" t="s">
        <v>101</v>
      </c>
      <c r="F33" s="82" t="s">
        <v>42</v>
      </c>
      <c r="G33" s="84">
        <v>45665</v>
      </c>
      <c r="H33" s="85">
        <v>1</v>
      </c>
      <c r="I33" s="90" t="s">
        <v>16</v>
      </c>
      <c r="J33" s="80"/>
      <c r="K33" s="148"/>
      <c r="L33" s="152" t="s">
        <v>197</v>
      </c>
    </row>
    <row r="34" spans="1:12" ht="30.75">
      <c r="A34" s="16">
        <v>33</v>
      </c>
      <c r="B34" s="16" t="s">
        <v>176</v>
      </c>
      <c r="C34" s="17" t="s">
        <v>198</v>
      </c>
      <c r="D34" s="39" t="s">
        <v>199</v>
      </c>
      <c r="E34" s="90" t="s">
        <v>101</v>
      </c>
      <c r="F34" s="82" t="s">
        <v>42</v>
      </c>
      <c r="G34" s="84">
        <v>45665</v>
      </c>
      <c r="H34" s="85">
        <v>1</v>
      </c>
      <c r="I34" s="90" t="s">
        <v>22</v>
      </c>
      <c r="J34" s="80"/>
      <c r="K34" s="148"/>
      <c r="L34" s="152" t="s">
        <v>200</v>
      </c>
    </row>
    <row r="35" spans="1:12" ht="30.75">
      <c r="A35" s="16">
        <v>34</v>
      </c>
      <c r="B35" s="16" t="s">
        <v>176</v>
      </c>
      <c r="C35" s="18" t="s">
        <v>201</v>
      </c>
      <c r="D35" s="39" t="s">
        <v>202</v>
      </c>
      <c r="E35" s="90" t="s">
        <v>101</v>
      </c>
      <c r="F35" s="82" t="s">
        <v>42</v>
      </c>
      <c r="G35" s="84">
        <v>45666</v>
      </c>
      <c r="H35" s="85">
        <v>1</v>
      </c>
      <c r="I35" s="90" t="s">
        <v>22</v>
      </c>
      <c r="J35" s="80"/>
      <c r="K35" s="148"/>
      <c r="L35" s="152" t="s">
        <v>203</v>
      </c>
    </row>
    <row r="36" spans="1:12" ht="45.75">
      <c r="A36" s="9">
        <v>35</v>
      </c>
      <c r="B36" s="10" t="s">
        <v>204</v>
      </c>
      <c r="C36" s="10" t="s">
        <v>205</v>
      </c>
      <c r="D36" s="41" t="s">
        <v>206</v>
      </c>
      <c r="E36" s="90" t="s">
        <v>101</v>
      </c>
      <c r="F36" s="82" t="s">
        <v>15</v>
      </c>
      <c r="G36" s="84">
        <v>46009</v>
      </c>
      <c r="H36" s="85">
        <v>1</v>
      </c>
      <c r="I36" s="82" t="s">
        <v>16</v>
      </c>
      <c r="J36" s="88" t="s">
        <v>106</v>
      </c>
      <c r="K36" s="149" t="s">
        <v>207</v>
      </c>
      <c r="L36" s="152" t="s">
        <v>208</v>
      </c>
    </row>
    <row r="37" spans="1:12" ht="45.75">
      <c r="A37" s="9">
        <v>36</v>
      </c>
      <c r="B37" s="10" t="s">
        <v>204</v>
      </c>
      <c r="C37" s="10" t="s">
        <v>209</v>
      </c>
      <c r="D37" s="41" t="s">
        <v>126</v>
      </c>
      <c r="E37" s="90" t="s">
        <v>101</v>
      </c>
      <c r="F37" s="82" t="s">
        <v>42</v>
      </c>
      <c r="G37" s="84">
        <v>45666</v>
      </c>
      <c r="H37" s="85">
        <v>1</v>
      </c>
      <c r="I37" s="90" t="s">
        <v>22</v>
      </c>
      <c r="J37" s="80"/>
      <c r="K37" s="148"/>
      <c r="L37" s="152" t="s">
        <v>210</v>
      </c>
    </row>
    <row r="38" spans="1:12" ht="30.75">
      <c r="A38" s="9">
        <v>37</v>
      </c>
      <c r="B38" s="10" t="s">
        <v>204</v>
      </c>
      <c r="C38" s="10" t="s">
        <v>211</v>
      </c>
      <c r="D38" s="41" t="s">
        <v>212</v>
      </c>
      <c r="E38" s="90" t="s">
        <v>101</v>
      </c>
      <c r="F38" s="82" t="s">
        <v>15</v>
      </c>
      <c r="G38" s="84">
        <v>46016</v>
      </c>
      <c r="H38" s="85">
        <v>1</v>
      </c>
      <c r="I38" s="82" t="s">
        <v>16</v>
      </c>
      <c r="J38" s="88" t="s">
        <v>106</v>
      </c>
      <c r="K38" s="149" t="s">
        <v>213</v>
      </c>
      <c r="L38" s="152" t="s">
        <v>214</v>
      </c>
    </row>
    <row r="39" spans="1:12" ht="60.75">
      <c r="A39" s="9">
        <v>38</v>
      </c>
      <c r="B39" s="10" t="s">
        <v>204</v>
      </c>
      <c r="C39" s="10" t="s">
        <v>215</v>
      </c>
      <c r="D39" s="23" t="s">
        <v>216</v>
      </c>
      <c r="E39" s="90" t="s">
        <v>101</v>
      </c>
      <c r="F39" s="82" t="s">
        <v>15</v>
      </c>
      <c r="G39" s="84">
        <v>46014</v>
      </c>
      <c r="H39" s="85">
        <v>1</v>
      </c>
      <c r="I39" s="82" t="s">
        <v>16</v>
      </c>
      <c r="J39" s="88" t="s">
        <v>106</v>
      </c>
      <c r="K39" s="149" t="s">
        <v>217</v>
      </c>
      <c r="L39" s="152" t="s">
        <v>218</v>
      </c>
    </row>
    <row r="40" spans="1:12" ht="30.75">
      <c r="A40" s="11">
        <v>39</v>
      </c>
      <c r="B40" s="12" t="s">
        <v>219</v>
      </c>
      <c r="C40" s="12" t="s">
        <v>220</v>
      </c>
      <c r="D40" s="24" t="s">
        <v>221</v>
      </c>
      <c r="E40" s="90" t="s">
        <v>101</v>
      </c>
      <c r="F40" s="82" t="s">
        <v>47</v>
      </c>
      <c r="G40" s="84">
        <v>46036</v>
      </c>
      <c r="H40" s="85">
        <v>1</v>
      </c>
      <c r="I40" s="90" t="s">
        <v>22</v>
      </c>
      <c r="J40" s="80"/>
      <c r="K40" s="148"/>
      <c r="L40" s="152" t="s">
        <v>222</v>
      </c>
    </row>
    <row r="41" spans="1:12" ht="30.75">
      <c r="A41" s="11">
        <v>40</v>
      </c>
      <c r="B41" s="12" t="s">
        <v>219</v>
      </c>
      <c r="C41" s="12" t="s">
        <v>223</v>
      </c>
      <c r="D41" s="24" t="s">
        <v>224</v>
      </c>
      <c r="E41" s="90" t="s">
        <v>101</v>
      </c>
      <c r="F41" s="82" t="s">
        <v>15</v>
      </c>
      <c r="G41" s="84">
        <v>46017</v>
      </c>
      <c r="H41" s="85">
        <v>1</v>
      </c>
      <c r="I41" s="82" t="s">
        <v>16</v>
      </c>
      <c r="J41" s="87" t="s">
        <v>23</v>
      </c>
      <c r="K41" s="148" t="s">
        <v>102</v>
      </c>
      <c r="L41" s="152" t="s">
        <v>225</v>
      </c>
    </row>
    <row r="42" spans="1:12" ht="30.75">
      <c r="A42" s="13">
        <v>41</v>
      </c>
      <c r="B42" s="13" t="s">
        <v>226</v>
      </c>
      <c r="C42" s="14" t="s">
        <v>227</v>
      </c>
      <c r="D42" s="25" t="s">
        <v>228</v>
      </c>
      <c r="E42" s="90" t="s">
        <v>101</v>
      </c>
      <c r="F42" s="82" t="s">
        <v>47</v>
      </c>
      <c r="G42" s="84">
        <v>46037</v>
      </c>
      <c r="H42" s="85">
        <v>1</v>
      </c>
      <c r="I42" s="90" t="s">
        <v>22</v>
      </c>
      <c r="J42" s="80"/>
      <c r="K42" s="148"/>
      <c r="L42" s="152" t="s">
        <v>229</v>
      </c>
    </row>
    <row r="43" spans="1:12" ht="30.75">
      <c r="A43" s="13">
        <v>42</v>
      </c>
      <c r="B43" s="14" t="s">
        <v>219</v>
      </c>
      <c r="C43" s="14" t="s">
        <v>230</v>
      </c>
      <c r="D43" s="25"/>
      <c r="E43" s="5"/>
      <c r="F43" s="82"/>
      <c r="G43" s="84"/>
      <c r="H43" s="90"/>
      <c r="I43" s="90"/>
      <c r="J43" s="80"/>
      <c r="K43" s="148" t="s">
        <v>231</v>
      </c>
      <c r="L43" s="152" t="s">
        <v>232</v>
      </c>
    </row>
    <row r="44" spans="1:12">
      <c r="A44" s="13">
        <v>43</v>
      </c>
      <c r="B44" s="13"/>
      <c r="C44" s="5"/>
      <c r="D44" s="25" t="s">
        <v>233</v>
      </c>
      <c r="E44" s="5"/>
      <c r="F44" s="82"/>
      <c r="G44" s="84"/>
      <c r="H44" s="90"/>
      <c r="I44" s="90"/>
      <c r="J44" s="80"/>
      <c r="K44" s="148"/>
      <c r="L44" s="146"/>
    </row>
    <row r="45" spans="1:12">
      <c r="A45" s="13">
        <v>44</v>
      </c>
      <c r="B45" s="13"/>
      <c r="C45" s="5"/>
      <c r="D45" s="25" t="s">
        <v>234</v>
      </c>
      <c r="E45" s="5"/>
      <c r="F45" s="82"/>
      <c r="G45" s="84"/>
      <c r="H45" s="90"/>
      <c r="I45" s="90"/>
      <c r="J45" s="80"/>
      <c r="K45" s="148"/>
    </row>
    <row r="46" spans="1:12">
      <c r="A46" s="13">
        <v>45</v>
      </c>
      <c r="B46" s="13"/>
      <c r="C46" s="5"/>
      <c r="D46" s="25" t="s">
        <v>235</v>
      </c>
      <c r="E46" s="5"/>
      <c r="F46" s="82"/>
      <c r="G46" s="84"/>
      <c r="H46" s="90"/>
      <c r="I46" s="90"/>
      <c r="J46" s="80"/>
      <c r="K46" s="148"/>
    </row>
    <row r="47" spans="1:12">
      <c r="A47" s="13">
        <v>46</v>
      </c>
      <c r="B47" s="13"/>
      <c r="C47" s="5"/>
      <c r="D47" s="25" t="s">
        <v>236</v>
      </c>
      <c r="E47" s="5"/>
      <c r="F47" s="82"/>
      <c r="G47" s="84"/>
      <c r="H47" s="90"/>
      <c r="I47" s="90"/>
      <c r="J47" s="80"/>
      <c r="K47" s="148"/>
    </row>
    <row r="48" spans="1:12">
      <c r="A48" s="13">
        <v>47</v>
      </c>
      <c r="B48" s="13"/>
      <c r="C48" s="5"/>
      <c r="D48" s="25" t="s">
        <v>237</v>
      </c>
      <c r="E48" s="5"/>
      <c r="F48" s="82"/>
      <c r="G48" s="84"/>
      <c r="H48" s="90"/>
      <c r="I48" s="90"/>
      <c r="J48" s="80"/>
      <c r="K48" s="148"/>
    </row>
    <row r="49" spans="1:11">
      <c r="A49" s="13">
        <v>48</v>
      </c>
      <c r="B49" s="13"/>
      <c r="C49" s="5"/>
      <c r="D49" s="25" t="s">
        <v>37</v>
      </c>
      <c r="E49" s="5"/>
      <c r="F49" s="82"/>
      <c r="G49" s="84"/>
      <c r="H49" s="90"/>
      <c r="I49" s="90"/>
      <c r="J49" s="80"/>
      <c r="K49" s="148"/>
    </row>
    <row r="50" spans="1:11">
      <c r="A50" s="13">
        <v>49</v>
      </c>
      <c r="B50" s="13"/>
      <c r="C50" s="5"/>
      <c r="D50" s="25" t="s">
        <v>238</v>
      </c>
      <c r="E50" s="5"/>
      <c r="F50" s="82"/>
      <c r="G50" s="84"/>
      <c r="H50" s="90"/>
      <c r="I50" s="90"/>
      <c r="J50" s="80"/>
      <c r="K50" s="148"/>
    </row>
    <row r="51" spans="1:11">
      <c r="A51" s="13">
        <v>50</v>
      </c>
      <c r="B51" s="13"/>
      <c r="C51" s="5"/>
      <c r="D51" s="25" t="s">
        <v>239</v>
      </c>
      <c r="E51" s="5"/>
      <c r="F51" s="82"/>
      <c r="G51" s="84"/>
      <c r="H51" s="90"/>
      <c r="I51" s="90"/>
      <c r="J51" s="80"/>
      <c r="K51" s="148"/>
    </row>
    <row r="52" spans="1:11">
      <c r="A52" s="13">
        <v>51</v>
      </c>
      <c r="B52" s="13"/>
      <c r="C52" s="5"/>
      <c r="D52" s="25" t="s">
        <v>240</v>
      </c>
      <c r="E52" s="5"/>
      <c r="F52" s="82"/>
      <c r="G52" s="84"/>
      <c r="H52" s="90"/>
      <c r="I52" s="90"/>
      <c r="J52" s="80"/>
      <c r="K52" s="148"/>
    </row>
    <row r="53" spans="1:11">
      <c r="A53" s="13">
        <v>52</v>
      </c>
      <c r="B53" s="13"/>
      <c r="C53" s="5"/>
      <c r="D53" s="25" t="s">
        <v>241</v>
      </c>
      <c r="E53" s="5"/>
      <c r="F53" s="82"/>
      <c r="G53" s="84"/>
      <c r="H53" s="90"/>
      <c r="I53" s="90"/>
      <c r="J53" s="80"/>
      <c r="K53" s="148"/>
    </row>
    <row r="54" spans="1:11">
      <c r="A54" s="13">
        <v>53</v>
      </c>
      <c r="B54" s="13"/>
      <c r="C54" s="5"/>
      <c r="D54" s="25" t="s">
        <v>242</v>
      </c>
      <c r="E54" s="5"/>
      <c r="F54" s="82"/>
      <c r="G54" s="84"/>
      <c r="H54" s="90"/>
      <c r="I54" s="90"/>
      <c r="J54" s="80"/>
      <c r="K54" s="148"/>
    </row>
    <row r="55" spans="1:11">
      <c r="A55" s="13">
        <v>54</v>
      </c>
      <c r="B55" s="13"/>
      <c r="C55" s="5"/>
      <c r="D55" s="25" t="s">
        <v>243</v>
      </c>
      <c r="E55" s="5"/>
      <c r="F55" s="82"/>
      <c r="G55" s="84"/>
      <c r="H55" s="90"/>
      <c r="I55" s="90"/>
      <c r="J55" s="80"/>
      <c r="K55" s="148"/>
    </row>
    <row r="56" spans="1:11">
      <c r="A56" s="13">
        <v>55</v>
      </c>
      <c r="B56" s="13"/>
      <c r="C56" s="5"/>
      <c r="D56" s="25" t="s">
        <v>244</v>
      </c>
      <c r="E56" s="5"/>
      <c r="F56" s="82"/>
      <c r="G56" s="84"/>
      <c r="H56" s="90"/>
      <c r="I56" s="90"/>
      <c r="J56" s="80"/>
      <c r="K56" s="148"/>
    </row>
  </sheetData>
  <autoFilter ref="A1:K56" xr:uid="{2AD8BFAE-44B5-47C9-85A7-5EC4587C0DD4}"/>
  <mergeCells count="5">
    <mergeCell ref="D9:D10"/>
    <mergeCell ref="D11:D12"/>
    <mergeCell ref="D13:D14"/>
    <mergeCell ref="D15:D21"/>
    <mergeCell ref="D22:D24"/>
  </mergeCells>
  <conditionalFormatting sqref="I2:J1048576">
    <cfRule type="cellIs" dxfId="5" priority="4" operator="equal">
      <formula>"In Progress"</formula>
    </cfRule>
    <cfRule type="cellIs" dxfId="4" priority="5" operator="equal">
      <formula>"Rework"</formula>
    </cfRule>
    <cfRule type="cellIs" dxfId="3" priority="6" operator="equal">
      <formula>"Completed"</formula>
    </cfRule>
  </conditionalFormatting>
  <conditionalFormatting sqref="I1:I1048576">
    <cfRule type="cellIs" dxfId="2" priority="3" operator="equal">
      <formula>"Not Started"</formula>
    </cfRule>
  </conditionalFormatting>
  <conditionalFormatting sqref="I1:I1048576">
    <cfRule type="cellIs" dxfId="1" priority="2" operator="equal">
      <formula>"Comparing"</formula>
    </cfRule>
  </conditionalFormatting>
  <conditionalFormatting sqref="I1:I1048576">
    <cfRule type="cellIs" dxfId="0" priority="1" operator="equal">
      <formula>"In Review"</formula>
    </cfRule>
  </conditionalFormatting>
  <dataValidations count="2">
    <dataValidation allowBlank="1" showInputMessage="1" showErrorMessage="1" sqref="J2:J1048576" xr:uid="{1D81DCF1-5BBE-49EE-96E8-F159FEB5CDDB}"/>
    <dataValidation type="list" allowBlank="1" showInputMessage="1" showErrorMessage="1" sqref="I1:I1048576" xr:uid="{A5DBC9C6-6251-4917-8504-F350E3FE67DB}">
      <formula1>"Not Started,In Progress, Comparing, In Review, Completed, Rework"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57D7E-E6F5-49CE-9143-A966A6A1FF7F}">
  <dimension ref="A5:V91"/>
  <sheetViews>
    <sheetView topLeftCell="A70" workbookViewId="0">
      <selection activeCell="D90" sqref="D90"/>
    </sheetView>
  </sheetViews>
  <sheetFormatPr defaultRowHeight="15"/>
  <cols>
    <col min="3" max="3" width="18.42578125" bestFit="1" customWidth="1"/>
    <col min="4" max="4" width="16.7109375" bestFit="1" customWidth="1"/>
    <col min="5" max="5" width="11.140625" customWidth="1"/>
    <col min="6" max="6" width="11.5703125" customWidth="1"/>
    <col min="7" max="7" width="12" customWidth="1"/>
    <col min="8" max="8" width="17.7109375" customWidth="1"/>
    <col min="9" max="9" width="11.5703125" bestFit="1" customWidth="1"/>
    <col min="10" max="10" width="17.140625" bestFit="1" customWidth="1"/>
    <col min="11" max="11" width="20.7109375" bestFit="1" customWidth="1"/>
    <col min="12" max="12" width="15.42578125" bestFit="1" customWidth="1"/>
    <col min="13" max="13" width="10.85546875" customWidth="1"/>
    <col min="14" max="14" width="11.140625" bestFit="1" customWidth="1"/>
    <col min="15" max="15" width="10.85546875" bestFit="1" customWidth="1"/>
    <col min="16" max="16" width="12" bestFit="1" customWidth="1"/>
    <col min="17" max="17" width="17.7109375" customWidth="1"/>
    <col min="18" max="18" width="10" bestFit="1" customWidth="1"/>
    <col min="19" max="19" width="13" customWidth="1"/>
    <col min="20" max="20" width="19.42578125" customWidth="1"/>
    <col min="21" max="21" width="9.7109375" bestFit="1" customWidth="1"/>
    <col min="22" max="22" width="12" bestFit="1" customWidth="1"/>
  </cols>
  <sheetData>
    <row r="5" spans="1:22">
      <c r="A5" s="42"/>
      <c r="B5" s="42"/>
      <c r="C5" s="131" t="s">
        <v>245</v>
      </c>
      <c r="D5" s="133" t="s">
        <v>1</v>
      </c>
      <c r="E5" s="143" t="s">
        <v>246</v>
      </c>
      <c r="F5" s="144"/>
      <c r="G5" s="144"/>
      <c r="H5" s="144"/>
      <c r="I5" s="144"/>
      <c r="J5" s="145"/>
    </row>
    <row r="6" spans="1:22">
      <c r="A6" s="42"/>
      <c r="B6" s="42"/>
      <c r="C6" s="132"/>
      <c r="D6" s="134"/>
      <c r="E6" s="44" t="s">
        <v>247</v>
      </c>
      <c r="F6" s="44" t="s">
        <v>248</v>
      </c>
      <c r="G6" s="44" t="s">
        <v>249</v>
      </c>
      <c r="H6" s="44" t="s">
        <v>250</v>
      </c>
      <c r="I6" s="44" t="s">
        <v>16</v>
      </c>
      <c r="J6" s="63" t="s">
        <v>251</v>
      </c>
    </row>
    <row r="7" spans="1:22">
      <c r="A7" s="42"/>
      <c r="B7" s="42"/>
      <c r="C7" s="135" t="s">
        <v>252</v>
      </c>
      <c r="D7" s="45" t="s">
        <v>11</v>
      </c>
      <c r="E7" s="46">
        <v>9</v>
      </c>
      <c r="F7" s="46">
        <v>0</v>
      </c>
      <c r="G7" s="46">
        <v>0</v>
      </c>
      <c r="H7" s="46">
        <v>6</v>
      </c>
      <c r="I7" s="46">
        <v>3</v>
      </c>
      <c r="J7" s="62">
        <f>I7/E7</f>
        <v>0.33333333333333331</v>
      </c>
    </row>
    <row r="8" spans="1:22">
      <c r="A8" s="42"/>
      <c r="B8" s="42"/>
      <c r="C8" s="136"/>
      <c r="D8" s="45" t="s">
        <v>253</v>
      </c>
      <c r="E8" s="46">
        <v>6</v>
      </c>
      <c r="F8" s="46">
        <v>0</v>
      </c>
      <c r="G8" s="46">
        <v>0</v>
      </c>
      <c r="H8" s="46">
        <v>0</v>
      </c>
      <c r="I8" s="46">
        <v>6</v>
      </c>
      <c r="J8" s="62">
        <f>I8/E8</f>
        <v>1</v>
      </c>
    </row>
    <row r="9" spans="1:22">
      <c r="A9" s="42"/>
      <c r="B9" s="42"/>
      <c r="C9" s="136"/>
      <c r="D9" s="45" t="s">
        <v>254</v>
      </c>
      <c r="E9" s="46">
        <v>10</v>
      </c>
      <c r="F9" s="46">
        <v>0</v>
      </c>
      <c r="G9" s="46">
        <v>0</v>
      </c>
      <c r="H9" s="46">
        <v>10</v>
      </c>
      <c r="I9" s="46">
        <v>0</v>
      </c>
      <c r="J9" s="64">
        <v>0</v>
      </c>
    </row>
    <row r="10" spans="1:22">
      <c r="A10" s="42"/>
      <c r="B10" s="42"/>
      <c r="C10" s="136"/>
      <c r="D10" s="45" t="s">
        <v>87</v>
      </c>
      <c r="E10" s="46" t="s">
        <v>255</v>
      </c>
      <c r="F10" s="46" t="s">
        <v>255</v>
      </c>
      <c r="G10" s="46"/>
      <c r="H10" s="46"/>
      <c r="I10" s="46" t="s">
        <v>255</v>
      </c>
      <c r="J10" s="65" t="s">
        <v>255</v>
      </c>
    </row>
    <row r="11" spans="1:22">
      <c r="A11" s="42"/>
      <c r="B11" s="42"/>
      <c r="C11" s="136"/>
      <c r="D11" s="118" t="s">
        <v>83</v>
      </c>
      <c r="E11" s="114" t="s">
        <v>255</v>
      </c>
      <c r="F11" s="114" t="s">
        <v>255</v>
      </c>
      <c r="G11" s="114"/>
      <c r="H11" s="114"/>
      <c r="I11" s="114" t="s">
        <v>255</v>
      </c>
      <c r="J11" s="119" t="s">
        <v>255</v>
      </c>
    </row>
    <row r="12" spans="1:22">
      <c r="A12" s="42"/>
      <c r="B12" s="42"/>
      <c r="C12" s="45"/>
      <c r="D12" s="45"/>
      <c r="E12" s="46">
        <f>SUM(E7:E11)</f>
        <v>25</v>
      </c>
      <c r="F12" s="46">
        <f>SUM(F7:F11)</f>
        <v>0</v>
      </c>
      <c r="G12" s="46">
        <f>SUM(G7:G11)</f>
        <v>0</v>
      </c>
      <c r="H12" s="46">
        <f>SUM(H7:H11)</f>
        <v>16</v>
      </c>
      <c r="I12" s="46">
        <f>SUM(I7:I11)</f>
        <v>9</v>
      </c>
      <c r="J12" s="117"/>
    </row>
    <row r="13" spans="1:22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U13" s="42"/>
      <c r="V13" s="42"/>
    </row>
    <row r="14" spans="1:22">
      <c r="A14" s="42"/>
      <c r="B14" s="42"/>
      <c r="C14" s="131" t="s">
        <v>256</v>
      </c>
      <c r="D14" s="133" t="s">
        <v>1</v>
      </c>
      <c r="E14" s="141" t="s">
        <v>257</v>
      </c>
      <c r="F14" s="141"/>
      <c r="G14" s="141"/>
      <c r="H14" s="141"/>
      <c r="I14" s="141"/>
      <c r="J14" s="142"/>
      <c r="K14" s="42"/>
      <c r="U14" s="42"/>
      <c r="V14" s="42"/>
    </row>
    <row r="15" spans="1:22">
      <c r="A15" s="42"/>
      <c r="B15" s="42"/>
      <c r="C15" s="132"/>
      <c r="D15" s="134"/>
      <c r="E15" s="66" t="s">
        <v>258</v>
      </c>
      <c r="F15" s="44" t="s">
        <v>248</v>
      </c>
      <c r="G15" s="44" t="s">
        <v>249</v>
      </c>
      <c r="H15" s="44" t="s">
        <v>250</v>
      </c>
      <c r="I15" s="44" t="s">
        <v>16</v>
      </c>
      <c r="J15" s="44" t="s">
        <v>251</v>
      </c>
      <c r="K15" s="42"/>
      <c r="U15" s="42"/>
      <c r="V15" s="42"/>
    </row>
    <row r="16" spans="1:22">
      <c r="A16" s="42"/>
      <c r="B16" s="42"/>
      <c r="C16" s="135" t="s">
        <v>252</v>
      </c>
      <c r="D16" s="45" t="s">
        <v>11</v>
      </c>
      <c r="E16" s="61">
        <v>1</v>
      </c>
      <c r="F16" s="46"/>
      <c r="G16" s="46"/>
      <c r="H16" s="46">
        <v>1</v>
      </c>
      <c r="I16" s="46">
        <v>0</v>
      </c>
      <c r="J16" s="46"/>
      <c r="K16" s="42"/>
      <c r="U16" s="42"/>
      <c r="V16" s="42"/>
    </row>
    <row r="17" spans="1:22">
      <c r="A17" s="42"/>
      <c r="B17" s="42"/>
      <c r="C17" s="136"/>
      <c r="D17" s="45" t="s">
        <v>253</v>
      </c>
      <c r="E17" s="61" t="s">
        <v>255</v>
      </c>
      <c r="F17" s="46" t="s">
        <v>255</v>
      </c>
      <c r="G17" s="46"/>
      <c r="H17" s="46"/>
      <c r="I17" s="46" t="s">
        <v>255</v>
      </c>
      <c r="J17" s="46" t="s">
        <v>255</v>
      </c>
      <c r="K17" s="42"/>
      <c r="U17" s="42"/>
      <c r="V17" s="42"/>
    </row>
    <row r="18" spans="1:22">
      <c r="A18" s="42"/>
      <c r="B18" s="42"/>
      <c r="C18" s="136"/>
      <c r="D18" s="45" t="s">
        <v>254</v>
      </c>
      <c r="E18" s="61" t="s">
        <v>255</v>
      </c>
      <c r="F18" s="46" t="s">
        <v>255</v>
      </c>
      <c r="G18" s="46"/>
      <c r="H18" s="46"/>
      <c r="I18" s="46" t="s">
        <v>255</v>
      </c>
      <c r="J18" s="46" t="s">
        <v>255</v>
      </c>
      <c r="K18" s="42"/>
      <c r="U18" s="42"/>
      <c r="V18" s="42"/>
    </row>
    <row r="19" spans="1:22">
      <c r="A19" s="42"/>
      <c r="B19" s="42"/>
      <c r="C19" s="136"/>
      <c r="D19" s="45" t="s">
        <v>87</v>
      </c>
      <c r="E19" s="61" t="s">
        <v>255</v>
      </c>
      <c r="F19" s="46" t="s">
        <v>255</v>
      </c>
      <c r="G19" s="46"/>
      <c r="H19" s="46"/>
      <c r="I19" s="46" t="s">
        <v>255</v>
      </c>
      <c r="J19" s="46" t="s">
        <v>255</v>
      </c>
      <c r="K19" s="42"/>
      <c r="U19" s="42"/>
      <c r="V19" s="42"/>
    </row>
    <row r="20" spans="1:22">
      <c r="A20" s="42"/>
      <c r="B20" s="42"/>
      <c r="C20" s="136"/>
      <c r="D20" s="118" t="s">
        <v>83</v>
      </c>
      <c r="E20" s="115" t="s">
        <v>255</v>
      </c>
      <c r="F20" s="114" t="s">
        <v>255</v>
      </c>
      <c r="G20" s="114"/>
      <c r="H20" s="114"/>
      <c r="I20" s="114" t="s">
        <v>255</v>
      </c>
      <c r="J20" s="114" t="s">
        <v>255</v>
      </c>
      <c r="K20" s="42"/>
      <c r="U20" s="42"/>
      <c r="V20" s="42"/>
    </row>
    <row r="21" spans="1:22">
      <c r="A21" s="42"/>
      <c r="B21" s="42"/>
      <c r="C21" s="45"/>
      <c r="D21" s="45"/>
      <c r="E21" s="46">
        <f>SUM(E16:E20)</f>
        <v>1</v>
      </c>
      <c r="F21" s="46">
        <f>SUM(F16:F20)</f>
        <v>0</v>
      </c>
      <c r="G21" s="46">
        <f>SUM(G16:G20)</f>
        <v>0</v>
      </c>
      <c r="H21" s="46">
        <f>SUM(H16:H20)</f>
        <v>1</v>
      </c>
      <c r="I21" s="46">
        <f>SUM(I16:I20)</f>
        <v>0</v>
      </c>
      <c r="J21" s="46">
        <f>SUM(J16:J20)</f>
        <v>0</v>
      </c>
      <c r="K21" s="42"/>
      <c r="U21" s="42"/>
      <c r="V21" s="42"/>
    </row>
    <row r="22" spans="1:22">
      <c r="A22" s="42"/>
      <c r="B22" s="42"/>
      <c r="C22" s="42"/>
      <c r="D22" s="42"/>
      <c r="E22" s="92"/>
      <c r="F22" s="92"/>
      <c r="G22" s="92"/>
      <c r="H22" s="92"/>
      <c r="I22" s="92"/>
      <c r="J22" s="92"/>
      <c r="K22" s="42"/>
      <c r="U22" s="42"/>
      <c r="V22" s="42"/>
    </row>
    <row r="23" spans="1:22">
      <c r="A23" s="42"/>
      <c r="B23" s="42"/>
      <c r="C23" s="131" t="s">
        <v>259</v>
      </c>
      <c r="D23" s="133" t="s">
        <v>1</v>
      </c>
      <c r="E23" s="138" t="s">
        <v>260</v>
      </c>
      <c r="F23" s="139"/>
      <c r="G23" s="139"/>
      <c r="H23" s="139"/>
      <c r="I23" s="139"/>
      <c r="J23" s="140"/>
      <c r="K23" s="42"/>
      <c r="U23" s="42"/>
      <c r="V23" s="42"/>
    </row>
    <row r="24" spans="1:22">
      <c r="A24" s="42"/>
      <c r="B24" s="42"/>
      <c r="C24" s="132"/>
      <c r="D24" s="134"/>
      <c r="E24" s="44" t="s">
        <v>261</v>
      </c>
      <c r="F24" s="44" t="s">
        <v>248</v>
      </c>
      <c r="G24" s="44" t="s">
        <v>249</v>
      </c>
      <c r="H24" s="44" t="s">
        <v>250</v>
      </c>
      <c r="I24" s="44" t="s">
        <v>16</v>
      </c>
      <c r="J24" s="47" t="s">
        <v>251</v>
      </c>
      <c r="K24" s="42"/>
      <c r="U24" s="42"/>
      <c r="V24" s="42"/>
    </row>
    <row r="25" spans="1:22">
      <c r="A25" s="42"/>
      <c r="B25" s="42"/>
      <c r="C25" s="135" t="s">
        <v>252</v>
      </c>
      <c r="D25" s="45" t="s">
        <v>11</v>
      </c>
      <c r="E25" s="46">
        <v>5</v>
      </c>
      <c r="F25" s="46">
        <v>5</v>
      </c>
      <c r="G25" s="46"/>
      <c r="H25" s="46"/>
      <c r="I25" s="46">
        <v>0</v>
      </c>
      <c r="J25" s="48">
        <v>0</v>
      </c>
      <c r="K25" s="42"/>
      <c r="U25" s="42"/>
      <c r="V25" s="42"/>
    </row>
    <row r="26" spans="1:22">
      <c r="A26" s="42"/>
      <c r="B26" s="42"/>
      <c r="C26" s="136"/>
      <c r="D26" s="45" t="s">
        <v>253</v>
      </c>
      <c r="E26" s="46" t="s">
        <v>255</v>
      </c>
      <c r="F26" s="46" t="s">
        <v>255</v>
      </c>
      <c r="G26" s="46"/>
      <c r="H26" s="46"/>
      <c r="I26" s="46" t="s">
        <v>255</v>
      </c>
      <c r="J26" s="48" t="s">
        <v>255</v>
      </c>
      <c r="K26" s="42"/>
      <c r="U26" s="42"/>
      <c r="V26" s="42"/>
    </row>
    <row r="27" spans="1:22">
      <c r="A27" s="42"/>
      <c r="B27" s="42"/>
      <c r="C27" s="136"/>
      <c r="D27" s="45" t="s">
        <v>254</v>
      </c>
      <c r="E27" s="46" t="s">
        <v>255</v>
      </c>
      <c r="F27" s="46" t="s">
        <v>255</v>
      </c>
      <c r="G27" s="46"/>
      <c r="H27" s="46"/>
      <c r="I27" s="46" t="s">
        <v>255</v>
      </c>
      <c r="J27" s="48" t="s">
        <v>255</v>
      </c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</row>
    <row r="28" spans="1:22">
      <c r="A28" s="42"/>
      <c r="B28" s="42"/>
      <c r="C28" s="136"/>
      <c r="D28" s="45" t="s">
        <v>87</v>
      </c>
      <c r="E28" s="46">
        <v>1</v>
      </c>
      <c r="F28" s="46"/>
      <c r="G28" s="46"/>
      <c r="H28" s="46">
        <v>1</v>
      </c>
      <c r="I28" s="46">
        <v>0</v>
      </c>
      <c r="J28" s="48">
        <v>0</v>
      </c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</row>
    <row r="29" spans="1:22">
      <c r="A29" s="42"/>
      <c r="B29" s="42"/>
      <c r="C29" s="136"/>
      <c r="D29" s="118" t="s">
        <v>83</v>
      </c>
      <c r="E29" s="114">
        <v>5</v>
      </c>
      <c r="F29" s="114">
        <v>5</v>
      </c>
      <c r="G29" s="114"/>
      <c r="H29" s="114"/>
      <c r="I29" s="114">
        <v>0</v>
      </c>
      <c r="J29" s="116">
        <v>0</v>
      </c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</row>
    <row r="30" spans="1:22">
      <c r="A30" s="42"/>
      <c r="B30" s="42"/>
      <c r="C30" s="45"/>
      <c r="D30" s="45"/>
      <c r="E30" s="46">
        <f t="shared" ref="E30:J30" si="0">SUM(E25:E29)</f>
        <v>11</v>
      </c>
      <c r="F30" s="46">
        <f t="shared" si="0"/>
        <v>10</v>
      </c>
      <c r="G30" s="46">
        <f t="shared" si="0"/>
        <v>0</v>
      </c>
      <c r="H30" s="46">
        <f t="shared" si="0"/>
        <v>1</v>
      </c>
      <c r="I30" s="46">
        <f t="shared" si="0"/>
        <v>0</v>
      </c>
      <c r="J30" s="46">
        <f t="shared" si="0"/>
        <v>0</v>
      </c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</row>
    <row r="31" spans="1:22">
      <c r="A31" s="42"/>
      <c r="B31" s="42"/>
      <c r="C31" s="42"/>
      <c r="D31" s="42"/>
      <c r="E31" s="92"/>
      <c r="F31" s="92"/>
      <c r="G31" s="92"/>
      <c r="H31" s="92"/>
      <c r="I31" s="92"/>
      <c r="J31" s="9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</row>
    <row r="32" spans="1:22">
      <c r="A32" s="42"/>
      <c r="B32" s="42"/>
      <c r="C32" s="42"/>
      <c r="D32" s="42"/>
      <c r="E32" s="92"/>
      <c r="F32" s="92"/>
      <c r="G32" s="92"/>
      <c r="H32" s="92"/>
      <c r="I32" s="92"/>
      <c r="J32" s="9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spans="1:22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spans="1:22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spans="1:22">
      <c r="A35" s="42"/>
      <c r="B35" s="42"/>
      <c r="C35" s="131" t="s">
        <v>245</v>
      </c>
      <c r="D35" s="133" t="s">
        <v>1</v>
      </c>
      <c r="E35" s="143" t="s">
        <v>246</v>
      </c>
      <c r="F35" s="144"/>
      <c r="G35" s="144"/>
      <c r="H35" s="144"/>
      <c r="I35" s="144"/>
      <c r="J35" s="145"/>
    </row>
    <row r="36" spans="1:22">
      <c r="A36" s="42"/>
      <c r="B36" s="42"/>
      <c r="C36" s="132"/>
      <c r="D36" s="134"/>
      <c r="E36" s="43" t="s">
        <v>247</v>
      </c>
      <c r="F36" s="43" t="s">
        <v>248</v>
      </c>
      <c r="G36" s="44" t="s">
        <v>249</v>
      </c>
      <c r="H36" s="44" t="s">
        <v>250</v>
      </c>
      <c r="I36" s="43" t="s">
        <v>16</v>
      </c>
      <c r="J36" s="58" t="s">
        <v>251</v>
      </c>
    </row>
    <row r="37" spans="1:22">
      <c r="A37" s="42"/>
      <c r="B37" s="42"/>
      <c r="C37" s="135" t="s">
        <v>262</v>
      </c>
      <c r="D37" s="45" t="s">
        <v>11</v>
      </c>
      <c r="E37" s="46">
        <v>5</v>
      </c>
      <c r="F37" s="46">
        <v>0</v>
      </c>
      <c r="G37" s="46">
        <v>0</v>
      </c>
      <c r="H37" s="46">
        <v>0</v>
      </c>
      <c r="I37" s="46">
        <v>5</v>
      </c>
      <c r="J37" s="62">
        <f>(I37/E37)</f>
        <v>1</v>
      </c>
    </row>
    <row r="38" spans="1:22">
      <c r="A38" s="42"/>
      <c r="B38" s="42"/>
      <c r="C38" s="136"/>
      <c r="D38" s="45" t="s">
        <v>176</v>
      </c>
      <c r="E38" s="46">
        <v>3</v>
      </c>
      <c r="F38" s="46">
        <v>0</v>
      </c>
      <c r="G38" s="46">
        <v>0</v>
      </c>
      <c r="H38" s="46">
        <v>0</v>
      </c>
      <c r="I38" s="46">
        <v>3</v>
      </c>
      <c r="J38" s="62">
        <f t="shared" ref="J38:J41" si="1">(I38/E38)</f>
        <v>1</v>
      </c>
    </row>
    <row r="39" spans="1:22">
      <c r="A39" s="42"/>
      <c r="B39" s="42"/>
      <c r="C39" s="136"/>
      <c r="D39" s="45" t="s">
        <v>204</v>
      </c>
      <c r="E39" s="46">
        <v>3</v>
      </c>
      <c r="F39" s="46">
        <v>0</v>
      </c>
      <c r="G39" s="46">
        <v>0</v>
      </c>
      <c r="H39" s="46">
        <v>0</v>
      </c>
      <c r="I39" s="46">
        <v>3</v>
      </c>
      <c r="J39" s="62">
        <f t="shared" si="1"/>
        <v>1</v>
      </c>
    </row>
    <row r="40" spans="1:22">
      <c r="A40" s="42"/>
      <c r="B40" s="42"/>
      <c r="C40" s="136"/>
      <c r="D40" s="45" t="s">
        <v>219</v>
      </c>
      <c r="E40" s="46">
        <v>1</v>
      </c>
      <c r="F40" s="46">
        <v>0</v>
      </c>
      <c r="G40" s="46">
        <v>0</v>
      </c>
      <c r="H40" s="46">
        <v>0</v>
      </c>
      <c r="I40" s="46">
        <v>1</v>
      </c>
      <c r="J40" s="62">
        <f t="shared" si="1"/>
        <v>1</v>
      </c>
    </row>
    <row r="41" spans="1:22">
      <c r="A41" s="42"/>
      <c r="B41" s="42"/>
      <c r="C41" s="136"/>
      <c r="D41" s="45" t="s">
        <v>168</v>
      </c>
      <c r="E41" s="46">
        <v>1</v>
      </c>
      <c r="F41" s="46">
        <v>0</v>
      </c>
      <c r="G41" s="46">
        <v>0</v>
      </c>
      <c r="H41" s="46">
        <v>0</v>
      </c>
      <c r="I41" s="46">
        <v>1</v>
      </c>
      <c r="J41" s="62">
        <f t="shared" si="1"/>
        <v>1</v>
      </c>
    </row>
    <row r="42" spans="1:22">
      <c r="A42" s="42"/>
      <c r="B42" s="42"/>
      <c r="C42" s="136"/>
      <c r="D42" s="45" t="s">
        <v>83</v>
      </c>
      <c r="E42" s="46" t="s">
        <v>255</v>
      </c>
      <c r="F42" s="46" t="s">
        <v>255</v>
      </c>
      <c r="G42" s="46" t="s">
        <v>255</v>
      </c>
      <c r="H42" s="46" t="s">
        <v>255</v>
      </c>
      <c r="I42" s="46" t="s">
        <v>255</v>
      </c>
      <c r="J42" s="62" t="s">
        <v>255</v>
      </c>
    </row>
    <row r="43" spans="1:22">
      <c r="A43" s="42"/>
      <c r="B43" s="42"/>
      <c r="C43" s="137"/>
      <c r="D43" s="59" t="s">
        <v>263</v>
      </c>
      <c r="E43" s="46" t="s">
        <v>255</v>
      </c>
      <c r="F43" s="46" t="s">
        <v>255</v>
      </c>
      <c r="G43" s="46" t="s">
        <v>255</v>
      </c>
      <c r="H43" s="46" t="s">
        <v>255</v>
      </c>
      <c r="I43" s="46" t="s">
        <v>255</v>
      </c>
      <c r="J43" s="62" t="s">
        <v>255</v>
      </c>
    </row>
    <row r="44" spans="1:22">
      <c r="E44" s="113">
        <f>SUM(E37:E43)</f>
        <v>13</v>
      </c>
      <c r="F44" s="113">
        <f>SUM(F37:F43)</f>
        <v>0</v>
      </c>
      <c r="G44" s="113">
        <f>SUM(G37:G43)</f>
        <v>0</v>
      </c>
      <c r="H44" s="113">
        <f>SUM(H37:H43)</f>
        <v>0</v>
      </c>
      <c r="I44" s="113">
        <f>SUM(I37:I43)</f>
        <v>13</v>
      </c>
      <c r="J44" s="62">
        <f t="shared" ref="J44" si="2">(I44/E44)</f>
        <v>1</v>
      </c>
    </row>
    <row r="45" spans="1:22">
      <c r="E45" s="93"/>
      <c r="F45" s="93"/>
      <c r="G45" s="93"/>
      <c r="H45" s="93"/>
      <c r="I45" s="93"/>
      <c r="J45" s="94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</row>
    <row r="46" spans="1:22">
      <c r="C46" s="131" t="s">
        <v>256</v>
      </c>
      <c r="D46" s="133" t="s">
        <v>1</v>
      </c>
      <c r="E46" s="141" t="s">
        <v>257</v>
      </c>
      <c r="F46" s="141"/>
      <c r="G46" s="141"/>
      <c r="H46" s="141"/>
      <c r="I46" s="141"/>
      <c r="J46" s="142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</row>
    <row r="47" spans="1:22">
      <c r="C47" s="132"/>
      <c r="D47" s="134"/>
      <c r="E47" s="60" t="s">
        <v>258</v>
      </c>
      <c r="F47" s="43" t="s">
        <v>248</v>
      </c>
      <c r="G47" s="44" t="s">
        <v>249</v>
      </c>
      <c r="H47" s="44" t="s">
        <v>250</v>
      </c>
      <c r="I47" s="43" t="s">
        <v>16</v>
      </c>
      <c r="J47" s="43" t="s">
        <v>251</v>
      </c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</row>
    <row r="48" spans="1:22">
      <c r="C48" s="135" t="s">
        <v>262</v>
      </c>
      <c r="D48" s="45" t="s">
        <v>11</v>
      </c>
      <c r="E48" s="61">
        <v>1</v>
      </c>
      <c r="F48" s="46">
        <v>0</v>
      </c>
      <c r="G48" s="46">
        <v>0</v>
      </c>
      <c r="H48" s="46">
        <v>0</v>
      </c>
      <c r="I48" s="46">
        <v>1</v>
      </c>
      <c r="J48" s="62">
        <f>I48/E48</f>
        <v>1</v>
      </c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3:22">
      <c r="C49" s="136"/>
      <c r="D49" s="45" t="s">
        <v>176</v>
      </c>
      <c r="E49" s="61">
        <v>5</v>
      </c>
      <c r="F49" s="46">
        <v>0</v>
      </c>
      <c r="G49" s="46">
        <v>0</v>
      </c>
      <c r="H49" s="46">
        <v>0</v>
      </c>
      <c r="I49" s="46">
        <v>5</v>
      </c>
      <c r="J49" s="62">
        <f t="shared" ref="J49:J54" si="3">I49/E49</f>
        <v>1</v>
      </c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</row>
    <row r="50" spans="3:22">
      <c r="C50" s="136"/>
      <c r="D50" s="45" t="s">
        <v>204</v>
      </c>
      <c r="E50" s="61">
        <v>1</v>
      </c>
      <c r="F50" s="46">
        <v>0</v>
      </c>
      <c r="G50" s="46">
        <v>0</v>
      </c>
      <c r="H50" s="46">
        <v>0</v>
      </c>
      <c r="I50" s="46">
        <v>1</v>
      </c>
      <c r="J50" s="62">
        <f t="shared" si="3"/>
        <v>1</v>
      </c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</row>
    <row r="51" spans="3:22">
      <c r="C51" s="136"/>
      <c r="D51" s="45" t="s">
        <v>219</v>
      </c>
      <c r="E51" s="61" t="s">
        <v>255</v>
      </c>
      <c r="F51" s="46" t="s">
        <v>255</v>
      </c>
      <c r="G51" s="61" t="s">
        <v>255</v>
      </c>
      <c r="H51" s="46" t="s">
        <v>255</v>
      </c>
      <c r="I51" s="46" t="s">
        <v>255</v>
      </c>
      <c r="J51" s="62" t="s">
        <v>255</v>
      </c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</row>
    <row r="52" spans="3:22">
      <c r="C52" s="136"/>
      <c r="D52" s="45" t="s">
        <v>168</v>
      </c>
      <c r="E52" s="61" t="s">
        <v>255</v>
      </c>
      <c r="F52" s="46" t="s">
        <v>255</v>
      </c>
      <c r="G52" s="61" t="s">
        <v>255</v>
      </c>
      <c r="H52" s="46" t="s">
        <v>255</v>
      </c>
      <c r="I52" s="46" t="s">
        <v>255</v>
      </c>
      <c r="J52" s="62" t="s">
        <v>255</v>
      </c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</row>
    <row r="53" spans="3:22">
      <c r="C53" s="136"/>
      <c r="D53" s="45" t="s">
        <v>83</v>
      </c>
      <c r="E53" s="61">
        <v>4</v>
      </c>
      <c r="F53" s="46">
        <v>0</v>
      </c>
      <c r="G53" s="46">
        <v>0</v>
      </c>
      <c r="H53" s="46">
        <v>0</v>
      </c>
      <c r="I53" s="46">
        <v>4</v>
      </c>
      <c r="J53" s="62">
        <f t="shared" si="3"/>
        <v>1</v>
      </c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</row>
    <row r="54" spans="3:22">
      <c r="C54" s="137"/>
      <c r="D54" s="59" t="s">
        <v>263</v>
      </c>
      <c r="E54" s="61" t="s">
        <v>255</v>
      </c>
      <c r="F54" s="46" t="s">
        <v>255</v>
      </c>
      <c r="G54" s="61" t="s">
        <v>255</v>
      </c>
      <c r="H54" s="46" t="s">
        <v>255</v>
      </c>
      <c r="I54" s="46" t="s">
        <v>255</v>
      </c>
      <c r="J54" s="62" t="s">
        <v>255</v>
      </c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</row>
    <row r="55" spans="3:22">
      <c r="E55" s="113">
        <f>SUM(E48:E54)</f>
        <v>11</v>
      </c>
      <c r="F55" s="113">
        <f>SUM(F48:F54)</f>
        <v>0</v>
      </c>
      <c r="G55" s="113">
        <f>SUM(G48:G54)</f>
        <v>0</v>
      </c>
      <c r="H55" s="113">
        <f>SUM(H48:H54)</f>
        <v>0</v>
      </c>
      <c r="I55" s="113">
        <f>SUM(I48:I54)</f>
        <v>11</v>
      </c>
      <c r="J55" s="62">
        <v>1</v>
      </c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</row>
    <row r="56" spans="3:22"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</row>
    <row r="57" spans="3:22">
      <c r="C57" s="131" t="s">
        <v>259</v>
      </c>
      <c r="D57" s="133" t="s">
        <v>1</v>
      </c>
      <c r="E57" s="138" t="s">
        <v>260</v>
      </c>
      <c r="F57" s="139"/>
      <c r="G57" s="139"/>
      <c r="H57" s="139"/>
      <c r="I57" s="139"/>
      <c r="J57" s="140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</row>
    <row r="58" spans="3:22">
      <c r="C58" s="132"/>
      <c r="D58" s="134"/>
      <c r="E58" s="43" t="s">
        <v>261</v>
      </c>
      <c r="F58" s="43" t="s">
        <v>248</v>
      </c>
      <c r="G58" s="44" t="s">
        <v>249</v>
      </c>
      <c r="H58" s="44" t="s">
        <v>250</v>
      </c>
      <c r="I58" s="43" t="s">
        <v>16</v>
      </c>
      <c r="J58" s="49" t="s">
        <v>251</v>
      </c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</row>
    <row r="59" spans="3:22">
      <c r="C59" s="135" t="s">
        <v>262</v>
      </c>
      <c r="D59" s="45" t="s">
        <v>11</v>
      </c>
      <c r="E59" s="46">
        <v>1</v>
      </c>
      <c r="F59" s="46">
        <v>0</v>
      </c>
      <c r="G59" s="46">
        <v>0</v>
      </c>
      <c r="H59" s="46">
        <v>1</v>
      </c>
      <c r="I59" s="46">
        <v>0</v>
      </c>
      <c r="J59" s="48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</row>
    <row r="60" spans="3:22">
      <c r="C60" s="136"/>
      <c r="D60" s="45" t="s">
        <v>176</v>
      </c>
      <c r="E60" s="46" t="s">
        <v>255</v>
      </c>
      <c r="F60" s="46" t="s">
        <v>255</v>
      </c>
      <c r="G60" s="46" t="s">
        <v>255</v>
      </c>
      <c r="H60" s="46" t="s">
        <v>255</v>
      </c>
      <c r="I60" s="46" t="s">
        <v>255</v>
      </c>
      <c r="J60" s="48" t="s">
        <v>255</v>
      </c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</row>
    <row r="61" spans="3:22">
      <c r="C61" s="136"/>
      <c r="D61" s="45" t="s">
        <v>204</v>
      </c>
      <c r="E61" s="46" t="s">
        <v>255</v>
      </c>
      <c r="F61" s="46" t="s">
        <v>255</v>
      </c>
      <c r="G61" s="46" t="s">
        <v>255</v>
      </c>
      <c r="H61" s="46" t="s">
        <v>255</v>
      </c>
      <c r="I61" s="46" t="s">
        <v>255</v>
      </c>
      <c r="J61" s="48" t="s">
        <v>255</v>
      </c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</row>
    <row r="62" spans="3:22">
      <c r="C62" s="136"/>
      <c r="D62" s="45" t="s">
        <v>219</v>
      </c>
      <c r="E62" s="46">
        <v>1</v>
      </c>
      <c r="F62" s="46">
        <v>0</v>
      </c>
      <c r="G62" s="46">
        <v>1</v>
      </c>
      <c r="H62" s="46"/>
      <c r="I62" s="46">
        <v>0</v>
      </c>
      <c r="J62" s="48">
        <v>0</v>
      </c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</row>
    <row r="63" spans="3:22">
      <c r="C63" s="136"/>
      <c r="D63" s="45" t="s">
        <v>168</v>
      </c>
      <c r="E63" s="46">
        <v>1</v>
      </c>
      <c r="F63" s="46">
        <v>0</v>
      </c>
      <c r="G63" s="46">
        <v>1</v>
      </c>
      <c r="H63" s="46"/>
      <c r="I63" s="46">
        <v>0</v>
      </c>
      <c r="J63" s="48">
        <v>0</v>
      </c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</row>
    <row r="64" spans="3:22">
      <c r="C64" s="136"/>
      <c r="D64" s="45" t="s">
        <v>83</v>
      </c>
      <c r="E64" s="46">
        <v>13</v>
      </c>
      <c r="F64" s="46">
        <v>2</v>
      </c>
      <c r="G64" s="46">
        <v>13</v>
      </c>
      <c r="H64" s="46"/>
      <c r="I64" s="46">
        <v>0</v>
      </c>
      <c r="J64" s="48">
        <v>0</v>
      </c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</row>
    <row r="65" spans="3:22">
      <c r="C65" s="137"/>
      <c r="D65" s="59" t="s">
        <v>263</v>
      </c>
      <c r="E65" s="114">
        <v>1</v>
      </c>
      <c r="F65" s="114">
        <v>0</v>
      </c>
      <c r="G65" s="114">
        <v>1</v>
      </c>
      <c r="H65" s="114"/>
      <c r="I65" s="114">
        <v>0</v>
      </c>
      <c r="J65" s="116">
        <v>0</v>
      </c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</row>
    <row r="66" spans="3:22">
      <c r="E66" s="113">
        <f t="shared" ref="E66:J66" si="4">SUM(E59:E65)</f>
        <v>17</v>
      </c>
      <c r="F66" s="113">
        <f t="shared" si="4"/>
        <v>2</v>
      </c>
      <c r="G66" s="113">
        <f t="shared" si="4"/>
        <v>16</v>
      </c>
      <c r="H66" s="113">
        <f t="shared" si="4"/>
        <v>1</v>
      </c>
      <c r="I66" s="113">
        <f t="shared" si="4"/>
        <v>0</v>
      </c>
      <c r="J66" s="113">
        <f t="shared" si="4"/>
        <v>0</v>
      </c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</row>
    <row r="67" spans="3:22"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</row>
    <row r="68" spans="3:22">
      <c r="E68" s="93"/>
      <c r="F68" s="93"/>
      <c r="G68" s="93"/>
      <c r="H68" s="93"/>
      <c r="I68" s="93"/>
      <c r="J68" s="94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</row>
    <row r="70" spans="3:22" ht="31.5">
      <c r="C70" s="95" t="s">
        <v>15</v>
      </c>
      <c r="D70" s="102" t="s">
        <v>264</v>
      </c>
      <c r="E70" s="97" t="s">
        <v>248</v>
      </c>
      <c r="F70" s="97" t="s">
        <v>249</v>
      </c>
      <c r="G70" s="98" t="s">
        <v>265</v>
      </c>
      <c r="H70" s="100" t="s">
        <v>266</v>
      </c>
      <c r="I70" s="99" t="s">
        <v>267</v>
      </c>
      <c r="J70" s="104" t="s">
        <v>268</v>
      </c>
      <c r="K70" s="101" t="s">
        <v>269</v>
      </c>
    </row>
    <row r="71" spans="3:22">
      <c r="C71" s="103" t="s">
        <v>270</v>
      </c>
      <c r="D71" s="96">
        <f>E12</f>
        <v>25</v>
      </c>
      <c r="E71" s="96">
        <v>0</v>
      </c>
      <c r="F71" s="96">
        <v>0</v>
      </c>
      <c r="G71" s="96">
        <v>25</v>
      </c>
      <c r="H71" s="110">
        <f>(G71/D71)</f>
        <v>1</v>
      </c>
      <c r="I71" s="96">
        <v>16</v>
      </c>
      <c r="J71" s="96">
        <v>9</v>
      </c>
      <c r="K71" s="106">
        <f>(J71/D71)</f>
        <v>0.36</v>
      </c>
    </row>
    <row r="72" spans="3:22">
      <c r="C72" s="103" t="s">
        <v>271</v>
      </c>
      <c r="D72" s="96">
        <f>E44</f>
        <v>13</v>
      </c>
      <c r="E72" s="96">
        <f>F44</f>
        <v>0</v>
      </c>
      <c r="F72" s="96">
        <v>0</v>
      </c>
      <c r="G72" s="96">
        <f>H44+I44</f>
        <v>13</v>
      </c>
      <c r="H72" s="110">
        <f>(G72/D72)</f>
        <v>1</v>
      </c>
      <c r="I72" s="96">
        <v>0</v>
      </c>
      <c r="J72" s="96">
        <v>13</v>
      </c>
      <c r="K72" s="109">
        <f>(J72/D72)</f>
        <v>1</v>
      </c>
    </row>
    <row r="73" spans="3:22">
      <c r="C73" s="103" t="s">
        <v>247</v>
      </c>
      <c r="D73" s="96">
        <f>SUM(D71:D72)</f>
        <v>38</v>
      </c>
      <c r="E73" s="96">
        <f>SUM(E71:E72)</f>
        <v>0</v>
      </c>
      <c r="F73" s="96">
        <f>SUM(F71:F72)</f>
        <v>0</v>
      </c>
      <c r="G73" s="96">
        <f>SUM(G71:G72)</f>
        <v>38</v>
      </c>
      <c r="H73" s="110">
        <f>(G73/D73)</f>
        <v>1</v>
      </c>
      <c r="I73" s="96">
        <f>SUM(I71:I72)</f>
        <v>16</v>
      </c>
      <c r="J73" s="96">
        <f>SUM(J71:J72)</f>
        <v>22</v>
      </c>
      <c r="K73" s="106">
        <f>(J73/D73)</f>
        <v>0.57894736842105265</v>
      </c>
    </row>
    <row r="76" spans="3:22" ht="31.5">
      <c r="C76" s="95" t="s">
        <v>42</v>
      </c>
      <c r="D76" s="102" t="s">
        <v>272</v>
      </c>
      <c r="E76" s="97" t="s">
        <v>248</v>
      </c>
      <c r="F76" s="97" t="s">
        <v>249</v>
      </c>
      <c r="G76" s="98" t="s">
        <v>265</v>
      </c>
      <c r="H76" s="100" t="s">
        <v>266</v>
      </c>
      <c r="I76" s="99" t="s">
        <v>267</v>
      </c>
      <c r="J76" s="104" t="s">
        <v>268</v>
      </c>
      <c r="K76" s="101" t="s">
        <v>269</v>
      </c>
    </row>
    <row r="77" spans="3:22">
      <c r="C77" s="103" t="s">
        <v>270</v>
      </c>
      <c r="D77" s="96">
        <f>E21</f>
        <v>1</v>
      </c>
      <c r="E77" s="96">
        <v>0</v>
      </c>
      <c r="F77" s="96">
        <v>0</v>
      </c>
      <c r="G77" s="96">
        <v>1</v>
      </c>
      <c r="H77" s="110">
        <f>(G77/D77)</f>
        <v>1</v>
      </c>
      <c r="I77" s="96">
        <v>1</v>
      </c>
      <c r="J77" s="96">
        <v>0</v>
      </c>
      <c r="K77" s="106">
        <f>(J77/D77)</f>
        <v>0</v>
      </c>
    </row>
    <row r="78" spans="3:22">
      <c r="C78" s="103" t="s">
        <v>271</v>
      </c>
      <c r="D78" s="96">
        <f>E55</f>
        <v>11</v>
      </c>
      <c r="E78" s="96">
        <v>0</v>
      </c>
      <c r="F78" s="96">
        <v>0</v>
      </c>
      <c r="G78" s="96">
        <v>11</v>
      </c>
      <c r="H78" s="110">
        <f>(G78/D78)</f>
        <v>1</v>
      </c>
      <c r="I78" s="96">
        <v>6</v>
      </c>
      <c r="J78" s="96">
        <v>5</v>
      </c>
      <c r="K78" s="106">
        <f>(J78/D78)</f>
        <v>0.45454545454545453</v>
      </c>
    </row>
    <row r="79" spans="3:22">
      <c r="C79" s="103" t="s">
        <v>258</v>
      </c>
      <c r="D79" s="96">
        <f>SUM(D77:D78)</f>
        <v>12</v>
      </c>
      <c r="E79" s="96">
        <f>SUM(E77:E78)</f>
        <v>0</v>
      </c>
      <c r="F79" s="96">
        <f>SUM(F77:F78)</f>
        <v>0</v>
      </c>
      <c r="G79" s="96">
        <f>SUM(G77:G78)</f>
        <v>12</v>
      </c>
      <c r="H79" s="110">
        <f>(G79/D79)</f>
        <v>1</v>
      </c>
      <c r="I79" s="96">
        <f>SUM(I77:I78)</f>
        <v>7</v>
      </c>
      <c r="J79" s="96">
        <f>SUM(J77:J78)</f>
        <v>5</v>
      </c>
      <c r="K79" s="106">
        <f>(J79/D79)</f>
        <v>0.41666666666666669</v>
      </c>
    </row>
    <row r="82" spans="3:11" ht="31.5">
      <c r="C82" s="95" t="s">
        <v>47</v>
      </c>
      <c r="D82" s="102" t="s">
        <v>273</v>
      </c>
      <c r="E82" s="97" t="s">
        <v>248</v>
      </c>
      <c r="F82" s="97" t="s">
        <v>249</v>
      </c>
      <c r="G82" s="98" t="s">
        <v>265</v>
      </c>
      <c r="H82" s="100" t="s">
        <v>266</v>
      </c>
      <c r="I82" s="99" t="s">
        <v>267</v>
      </c>
      <c r="J82" s="104" t="s">
        <v>268</v>
      </c>
      <c r="K82" s="101" t="s">
        <v>269</v>
      </c>
    </row>
    <row r="83" spans="3:11">
      <c r="C83" s="103" t="s">
        <v>270</v>
      </c>
      <c r="D83" s="96">
        <v>12</v>
      </c>
      <c r="E83" s="107">
        <v>10</v>
      </c>
      <c r="F83" s="96">
        <v>0</v>
      </c>
      <c r="G83" s="96">
        <v>1</v>
      </c>
      <c r="H83" s="105">
        <f>(G83/D83)</f>
        <v>8.3333333333333329E-2</v>
      </c>
      <c r="I83" s="96">
        <v>1</v>
      </c>
      <c r="J83" s="96">
        <v>0</v>
      </c>
      <c r="K83" s="106">
        <f>(J83/D83)</f>
        <v>0</v>
      </c>
    </row>
    <row r="84" spans="3:11">
      <c r="C84" s="103" t="s">
        <v>271</v>
      </c>
      <c r="D84" s="96">
        <v>18</v>
      </c>
      <c r="E84" s="96">
        <v>0</v>
      </c>
      <c r="F84" s="96">
        <v>18</v>
      </c>
      <c r="G84" s="96">
        <v>0</v>
      </c>
      <c r="H84" s="105">
        <f>(G84/D84)</f>
        <v>0</v>
      </c>
      <c r="I84" s="96">
        <v>0</v>
      </c>
      <c r="J84" s="96">
        <v>0</v>
      </c>
      <c r="K84" s="106">
        <f>(J84/D84)</f>
        <v>0</v>
      </c>
    </row>
    <row r="85" spans="3:11">
      <c r="C85" s="103" t="s">
        <v>247</v>
      </c>
      <c r="D85" s="96">
        <f>SUM(D83:D84)</f>
        <v>30</v>
      </c>
      <c r="E85" s="96">
        <f>SUM(E83:E84)</f>
        <v>10</v>
      </c>
      <c r="F85" s="96">
        <f>SUM(F83:F84)</f>
        <v>18</v>
      </c>
      <c r="G85" s="96">
        <f>SUM(G83:G84)</f>
        <v>1</v>
      </c>
      <c r="H85" s="105">
        <f>(G85/D85)</f>
        <v>3.3333333333333333E-2</v>
      </c>
      <c r="I85" s="96">
        <f>SUM(I83:I84)</f>
        <v>1</v>
      </c>
      <c r="J85" s="96">
        <f>SUM(J83:J84)</f>
        <v>0</v>
      </c>
      <c r="K85" s="106">
        <f>(J85/D85)</f>
        <v>0</v>
      </c>
    </row>
    <row r="88" spans="3:11" ht="31.5">
      <c r="C88" s="95" t="s">
        <v>274</v>
      </c>
      <c r="D88" s="102" t="s">
        <v>275</v>
      </c>
      <c r="E88" s="97" t="s">
        <v>248</v>
      </c>
      <c r="F88" s="97" t="s">
        <v>249</v>
      </c>
      <c r="G88" s="98" t="s">
        <v>265</v>
      </c>
      <c r="H88" s="100" t="s">
        <v>266</v>
      </c>
      <c r="I88" s="99" t="s">
        <v>267</v>
      </c>
      <c r="J88" s="104" t="s">
        <v>268</v>
      </c>
      <c r="K88" s="101" t="s">
        <v>269</v>
      </c>
    </row>
    <row r="89" spans="3:11">
      <c r="C89" s="103" t="s">
        <v>270</v>
      </c>
      <c r="D89" s="96">
        <f>D71+D77+D83</f>
        <v>38</v>
      </c>
      <c r="E89" s="96">
        <f t="shared" ref="E89:K89" si="5">E71+E77+E83</f>
        <v>10</v>
      </c>
      <c r="F89" s="96">
        <f t="shared" si="5"/>
        <v>0</v>
      </c>
      <c r="G89" s="96">
        <f t="shared" si="5"/>
        <v>27</v>
      </c>
      <c r="H89" s="105">
        <f>G89/D89</f>
        <v>0.71052631578947367</v>
      </c>
      <c r="I89" s="96">
        <f t="shared" si="5"/>
        <v>18</v>
      </c>
      <c r="J89" s="96">
        <f t="shared" si="5"/>
        <v>9</v>
      </c>
      <c r="K89" s="106">
        <f>J89/D89</f>
        <v>0.23684210526315788</v>
      </c>
    </row>
    <row r="90" spans="3:11">
      <c r="C90" s="103" t="s">
        <v>271</v>
      </c>
      <c r="D90" s="96">
        <f>D72+D78+D84</f>
        <v>42</v>
      </c>
      <c r="E90" s="96">
        <f t="shared" ref="E90:K90" si="6">E72+E78+E84</f>
        <v>0</v>
      </c>
      <c r="F90" s="96">
        <f t="shared" si="6"/>
        <v>18</v>
      </c>
      <c r="G90" s="96">
        <f t="shared" si="6"/>
        <v>24</v>
      </c>
      <c r="H90" s="105">
        <f>G90/D90</f>
        <v>0.5714285714285714</v>
      </c>
      <c r="I90" s="96">
        <f t="shared" si="6"/>
        <v>6</v>
      </c>
      <c r="J90" s="96">
        <f t="shared" si="6"/>
        <v>18</v>
      </c>
      <c r="K90" s="106">
        <f>J90/D90</f>
        <v>0.42857142857142855</v>
      </c>
    </row>
    <row r="91" spans="3:11">
      <c r="C91" s="103" t="s">
        <v>276</v>
      </c>
      <c r="D91" s="96">
        <f>SUM(D89:D90)</f>
        <v>80</v>
      </c>
      <c r="E91" s="96">
        <f>SUM(E89:E90)</f>
        <v>10</v>
      </c>
      <c r="F91" s="96">
        <f>SUM(F89:F90)</f>
        <v>18</v>
      </c>
      <c r="G91" s="96">
        <f>SUM(G89:G90)</f>
        <v>51</v>
      </c>
      <c r="H91" s="105">
        <f>G91/D91</f>
        <v>0.63749999999999996</v>
      </c>
      <c r="I91" s="96">
        <f>SUM(I89:I90)</f>
        <v>24</v>
      </c>
      <c r="J91" s="96">
        <f>SUM(J89:J90)</f>
        <v>27</v>
      </c>
      <c r="K91" s="106">
        <f>J91/D91</f>
        <v>0.33750000000000002</v>
      </c>
    </row>
  </sheetData>
  <mergeCells count="24">
    <mergeCell ref="E57:J57"/>
    <mergeCell ref="E23:J23"/>
    <mergeCell ref="C7:C11"/>
    <mergeCell ref="C37:C43"/>
    <mergeCell ref="C5:C6"/>
    <mergeCell ref="D5:D6"/>
    <mergeCell ref="C35:C36"/>
    <mergeCell ref="D35:D36"/>
    <mergeCell ref="E14:J14"/>
    <mergeCell ref="E5:J5"/>
    <mergeCell ref="E35:J35"/>
    <mergeCell ref="E46:J46"/>
    <mergeCell ref="C14:C15"/>
    <mergeCell ref="D14:D15"/>
    <mergeCell ref="C16:C20"/>
    <mergeCell ref="C23:C24"/>
    <mergeCell ref="C57:C58"/>
    <mergeCell ref="D57:D58"/>
    <mergeCell ref="C59:C65"/>
    <mergeCell ref="D23:D24"/>
    <mergeCell ref="C25:C29"/>
    <mergeCell ref="C46:C47"/>
    <mergeCell ref="D46:D47"/>
    <mergeCell ref="C48:C5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D555604500A84AB29CC9AA6EB1AFA6" ma:contentTypeVersion="7" ma:contentTypeDescription="Create a new document." ma:contentTypeScope="" ma:versionID="4e30b67e5fb193f4d19ffc0fe9ad88f9">
  <xsd:schema xmlns:xsd="http://www.w3.org/2001/XMLSchema" xmlns:xs="http://www.w3.org/2001/XMLSchema" xmlns:p="http://schemas.microsoft.com/office/2006/metadata/properties" xmlns:ns2="ec75551c-c788-473e-bf10-c08a43ed19fb" targetNamespace="http://schemas.microsoft.com/office/2006/metadata/properties" ma:root="true" ma:fieldsID="5308df63dbe1c596e8d55b5fdee3c1ea" ns2:_="">
    <xsd:import namespace="ec75551c-c788-473e-bf10-c08a43ed1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551c-c788-473e-bf10-c08a43ed19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BB0EE4-CDE3-4D74-8702-07CDFE4B3AF8}"/>
</file>

<file path=customXml/itemProps2.xml><?xml version="1.0" encoding="utf-8"?>
<ds:datastoreItem xmlns:ds="http://schemas.openxmlformats.org/officeDocument/2006/customXml" ds:itemID="{8651CC1D-3480-41C7-A5F7-69786C98B829}"/>
</file>

<file path=customXml/itemProps3.xml><?xml version="1.0" encoding="utf-8"?>
<ds:datastoreItem xmlns:ds="http://schemas.openxmlformats.org/officeDocument/2006/customXml" ds:itemID="{1207BC50-670A-428A-A22F-A2069175AA2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 Umesh Shah</dc:creator>
  <cp:keywords/>
  <dc:description/>
  <cp:lastModifiedBy/>
  <cp:revision/>
  <dcterms:created xsi:type="dcterms:W3CDTF">2025-11-07T08:20:40Z</dcterms:created>
  <dcterms:modified xsi:type="dcterms:W3CDTF">2026-01-21T15:02:10Z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0x010100A4D555604500A84AB29CC9AA6EB1AFA6</vt:lpwstr>
  </property>
  <property fmtid="{D5CDD505-2E9C-101B-9397-08002B2CF9AE}" pid="3" name="MediaServiceImageTags">
    <vt:lpwstr/>
  </property>
</Properties>
</file>